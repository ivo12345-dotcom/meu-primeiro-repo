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a" sheetId="1" state="visible" r:id="rId3"/>
    <sheet name="Registo Diário" sheetId="2" state="visible" r:id="rId4"/>
    <sheet name="Resumo Blocos" sheetId="3" state="visible" r:id="rId5"/>
    <sheet name="Resumo Zonas" sheetId="4" state="visible" r:id="rId6"/>
    <sheet name="Resumo Dias" sheetId="5" state="visible" r:id="rId7"/>
    <sheet name="Resumo Mensal" sheetId="6" state="visible" r:id="rId8"/>
    <sheet name="Config" sheetId="7" state="visible" r:id="rId9"/>
  </sheets>
  <definedNames>
    <definedName function="false" hidden="true" localSheetId="1" name="_xlnm._FilterDatabase" vbProcedure="false">'Registo Diário'!$A$2:$V$403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Horas com a app ligada. Se o turno passar da meia-noite, a fórmula trata disso sozinha.</t>
        </r>
      </text>
    </comment>
    <comment ref="J2" authorId="0">
      <text>
        <r>
          <rPr>
            <sz val="10"/>
            <rFont val="Arial"/>
            <family val="2"/>
          </rPr>
          <t xml:space="preserve">Valor total das corridas ANTES da comissão da plataforma. Se a app já te mostra o valor líquido de comissão, põe a comissão a 0% na Config e regista aqui esse valor.</t>
        </r>
      </text>
    </comment>
    <comment ref="L2" authorId="0">
      <text>
        <r>
          <rPr>
            <sz val="10"/>
            <rFont val="Arial"/>
            <family val="2"/>
          </rPr>
          <t xml:space="preserve">Gorjetas não pagam comissão, por isso entram à parte.</t>
        </r>
      </text>
    </comment>
    <comment ref="M2" authorId="0">
      <text>
        <r>
          <rPr>
            <sz val="10"/>
            <rFont val="Arial"/>
            <family val="2"/>
          </rPr>
          <t xml:space="preserve">Km TOTAIS do turno, incluindo os que fazes vazio à procura de corrida. É esse o custo real.</t>
        </r>
      </text>
    </comment>
    <comment ref="N2" authorId="0">
      <text>
        <r>
          <rPr>
            <sz val="10"/>
            <rFont val="Arial"/>
            <family val="2"/>
          </rPr>
          <t xml:space="preserve">Valor REAL do que pagaste a carregar. Preenche na linha do turno em que carregaste. Se um carregamento der para vários turnos, mete tudo no turno em que pagaste — ao fim do mês o total fica certo à mesma. Deixa vazio nos turnos em que não carregaste.</t>
        </r>
      </text>
    </comment>
    <comment ref="O2" authorId="0">
      <text>
        <r>
          <rPr>
            <sz val="10"/>
            <rFont val="Arial"/>
            <family val="2"/>
          </rPr>
          <t xml:space="preserve">Calculado a partir dos km e do valor por km definido na Config (manutenção e pneus).</t>
        </r>
      </text>
    </comment>
    <comment ref="P2" authorId="0">
      <text>
        <r>
          <rPr>
            <sz val="10"/>
            <rFont val="Arial"/>
            <family val="2"/>
          </rPr>
          <t xml:space="preserve">Só as portagens que pagaste do teu bolso e não foram reembolsadas na corrida.</t>
        </r>
      </text>
    </comment>
    <comment ref="Q2" authorId="0">
      <text>
        <r>
          <rPr>
            <sz val="10"/>
            <rFont val="Arial"/>
            <family val="2"/>
          </rPr>
          <t xml:space="preserve">Lavagens, estacionamento, parque do aeroporto, café. Tudo o que gastaste por causa do turno.</t>
        </r>
      </text>
    </comment>
  </commentList>
</comments>
</file>

<file path=xl/sharedStrings.xml><?xml version="1.0" encoding="utf-8"?>
<sst xmlns="http://schemas.openxmlformats.org/spreadsheetml/2006/main" count="242" uniqueCount="177">
  <si>
    <t xml:space="preserve">Controlo TVDE — Lisboa</t>
  </si>
  <si>
    <t xml:space="preserve">Folha de registo e análise de turnos. Preenche o separador «Registo Diário» ao fim de cada turno; os resumos calculam-se sozinhos.</t>
  </si>
  <si>
    <t xml:space="preserve">COMO USAR</t>
  </si>
  <si>
    <t xml:space="preserve">1. Config</t>
  </si>
  <si>
    <t xml:space="preserve">Começa aqui. Confirma a comissão da plataforma, o custo de manutenção e pneus por km, e os custos fixos mensais. Sem isto, os líquidos saem errados.</t>
  </si>
  <si>
    <t xml:space="preserve">2. Registo Diário</t>
  </si>
  <si>
    <t xml:space="preserve">Uma linha por turno. Preenche só as colunas com fundo amarelo. As colunas cinzentas são fórmulas — não escrevas lá.</t>
  </si>
  <si>
    <t xml:space="preserve">3. Resumos</t>
  </si>
  <si>
    <t xml:space="preserve">Ao fim de 2-3 semanas os separadores de resumo mostram-te que blocos horários e que zonas rendem mais €/hora líquido. Trabalha esses; corta os outros.</t>
  </si>
  <si>
    <t xml:space="preserve">Regra de ouro</t>
  </si>
  <si>
    <t xml:space="preserve">O que interessa é o €/hora LÍQUIDO, não a faturação. Um turno de 200 € com 11 horas e 250 km rende menos que um de 120 € com 5 horas e 80 km.</t>
  </si>
  <si>
    <t xml:space="preserve">CARREGAMENTOS (TESLA)</t>
  </si>
  <si>
    <t xml:space="preserve">Coluna «Carregamento (€)»</t>
  </si>
  <si>
    <t xml:space="preserve">A eletricidade NÃO é estimada. Sempre que carregares, mete o valor real que pagaste na linha do turno em que carregaste. Se um carregamento der para dois turnos, mete tudo no turno em que pagaste — ao fim do mês o total fica certo à mesma.</t>
  </si>
  <si>
    <t xml:space="preserve">Custo real por km</t>
  </si>
  <si>
    <t xml:space="preserve">O «Resumo Mensal» calcula o teu € de carregamento por 100 km. Ao fim de um mês ficas a saber o custo real de energia do carro — melhor do que qualquer estimativa.</t>
  </si>
  <si>
    <t xml:space="preserve">Carregar em casa vs rápido</t>
  </si>
  <si>
    <t xml:space="preserve">Carregar em casa fora do horário de ponta é muito mais barato do que carregamento rápido na rua. Se der, chega ao turno com o carro cheio de casa e usa a rede pública só como recurso.</t>
  </si>
  <si>
    <t xml:space="preserve">HORÁRIOS — PONTO DE PARTIDA</t>
  </si>
  <si>
    <t xml:space="preserve">Sexta e sábado, 23h-04h</t>
  </si>
  <si>
    <t xml:space="preserve">O melhor bloco da semana. Surge alto, corridas curtas encadeadas, pouco trânsito. A madrugada de domingo (saída de sábado à noite) também é forte.</t>
  </si>
  <si>
    <t xml:space="preserve">Manhã cedo, 05h30-08h30</t>
  </si>
  <si>
    <t xml:space="preserve">Voos de partida + primeiro pico de escritórios, com trânsito ainda leve. Ótima relação €/hora e pouca concorrência.</t>
  </si>
  <si>
    <t xml:space="preserve">Pico da tarde, 17h30-20h30</t>
  </si>
  <si>
    <t xml:space="preserve">Muita procura, mas a 2ª Circular, o Eixo Norte-Sul e o Marquês destroem o €/hora. Prefere corridas curtas dentro da cidade a corridas longas presas no trânsito.</t>
  </si>
  <si>
    <t xml:space="preserve">Dias de chuva</t>
  </si>
  <si>
    <t xml:space="preserve">Sobe tudo. Chuva + hora de ponta a meio da semana é dos melhores momentos possíveis.</t>
  </si>
  <si>
    <t xml:space="preserve">Blocos fracos</t>
  </si>
  <si>
    <t xml:space="preserve">Segunda a quinta das 10h às 16h, e domingo à tarde. Se puderes, descansa aí.</t>
  </si>
  <si>
    <t xml:space="preserve">ZONAS — PONTO DE PARTIDA</t>
  </si>
  <si>
    <t xml:space="preserve">Aeroporto</t>
  </si>
  <si>
    <t xml:space="preserve">A fila TVDE pode ser 30-60 min; só compensa se sair corrida longa. Melhor das 5h às 8h (partidas) e das 19h às 23h (chegadas tardias).</t>
  </si>
  <si>
    <t xml:space="preserve">Cais do Sodré / Bairro Alto / Santos / Docas</t>
  </si>
  <si>
    <t xml:space="preserve">O núcleo da noite. Não entres no meio do caos: espera em ruas adjacentes (Ribeira das Naus, Boavista, Av. 24 de Julho) e deixa o cliente vir ter contigo.</t>
  </si>
  <si>
    <t xml:space="preserve">Parque das Nações</t>
  </si>
  <si>
    <t xml:space="preserve">Escritórios de manhã, Altice Arena em dias de espetáculo, hotéis. Fácil de circular, o que puxa o €/hora para cima.</t>
  </si>
  <si>
    <t xml:space="preserve">Saldanha / Avenidas Novas / Av. Liberdade</t>
  </si>
  <si>
    <t xml:space="preserve">Corporate na hora de ponta e hotéis. Corridas curtas e frequentes.</t>
  </si>
  <si>
    <t xml:space="preserve">Alcântara / LX Factory</t>
  </si>
  <si>
    <t xml:space="preserve">Escritórios de tecnologia de dia, restaurantes à noite.</t>
  </si>
  <si>
    <t xml:space="preserve">Baixa / Chiado / Alfama</t>
  </si>
  <si>
    <t xml:space="preserve">Turistas, mas ruas estreitas e zonas pedonais. Escolhe pontos de recolha onde consegues mesmo parar.</t>
  </si>
  <si>
    <t xml:space="preserve">OS DIAS QUE VALEM O MÊS</t>
  </si>
  <si>
    <t xml:space="preserve">Web Summit (novembro)</t>
  </si>
  <si>
    <t xml:space="preserve">A melhor semana do ano, de longe. Parque das Nações e hotéis por toda a cidade.</t>
  </si>
  <si>
    <t xml:space="preserve">Jogos e concertos</t>
  </si>
  <si>
    <t xml:space="preserve">Estádio da Luz, Alvalade, Altice Arena, Campo Pequeno. Marca as datas no calendário e planeia a semana à volta delas.</t>
  </si>
  <si>
    <t xml:space="preserve">Festivais de verão</t>
  </si>
  <si>
    <t xml:space="preserve">NOS Alive (Algés), Rock in Rio (Parque Tejo) e afins.</t>
  </si>
  <si>
    <t xml:space="preserve">Cruzeiros</t>
  </si>
  <si>
    <t xml:space="preserve">Manhãs de desembarque no terminal de Santa Apolónia / Jardim do Tabaco.</t>
  </si>
  <si>
    <t xml:space="preserve">CUIDADOS</t>
  </si>
  <si>
    <t xml:space="preserve">Corridas para fora</t>
  </si>
  <si>
    <t xml:space="preserve">Sintra, Cascais, Setúbal à hora de ponta: cuidado com o regresso vazio. 40 € com 50 min de volta a zero rende menos que três corridas urbanas.</t>
  </si>
  <si>
    <t xml:space="preserve">Autonomia</t>
  </si>
  <si>
    <t xml:space="preserve">Nos turnos de noite não deixes a bateria descer ao ponto de teres de parar 40 minutos a carregar na hora boa. Carrega antes de sair ou nas horas mortas do turno.</t>
  </si>
  <si>
    <t xml:space="preserve">Multi-app</t>
  </si>
  <si>
    <t xml:space="preserve">Uber + Bolt + FREENOW em simultâneo reduz o tempo parado — desde que aceites com critério e não andes a cancelar.</t>
  </si>
  <si>
    <t xml:space="preserve">Portagens</t>
  </si>
  <si>
    <t xml:space="preserve">A 2ª Circular é grátis. Ponte 25 de Abril, Ponte Vasco da Gama e A5 não. Regista-as na coluna própria.</t>
  </si>
  <si>
    <t xml:space="preserve">Legal</t>
  </si>
  <si>
    <t xml:space="preserve">Precisas de certificado de motorista TVDE, veículo licenciado com dístico e estar coletado nas Finanças.</t>
  </si>
  <si>
    <t xml:space="preserve">Nota</t>
  </si>
  <si>
    <t xml:space="preserve">Os horários e zonas acima são padrões gerais para orientar as primeiras semanas. Os teus próprios números, ao fim de 2-3 semanas de registo, valem mais do que qualquer regra geral — é para isso que serve esta folha.</t>
  </si>
  <si>
    <t xml:space="preserve">REGISTO DIÁRIO  —  preenche só as colunas de cabeçalho AZUL-ESCURO, uma linha por turno.  As colunas de cabeçalho CINZENTO são fórmulas: não escrevas nelas.  A linha 3 é um exemplo — apaga-a quando começares.</t>
  </si>
  <si>
    <t xml:space="preserve">Data</t>
  </si>
  <si>
    <t xml:space="preserve">Dia</t>
  </si>
  <si>
    <t xml:space="preserve">Mês</t>
  </si>
  <si>
    <t xml:space="preserve">Bloco horário</t>
  </si>
  <si>
    <t xml:space="preserve">Zona principal</t>
  </si>
  <si>
    <t xml:space="preserve">Início</t>
  </si>
  <si>
    <t xml:space="preserve">Fim</t>
  </si>
  <si>
    <t xml:space="preserve">Horas online</t>
  </si>
  <si>
    <t xml:space="preserve">Nº corridas</t>
  </si>
  <si>
    <t xml:space="preserve">Faturação (€)</t>
  </si>
  <si>
    <t xml:space="preserve">Comissão (€)</t>
  </si>
  <si>
    <t xml:space="preserve">Gorjetas (€)</t>
  </si>
  <si>
    <t xml:space="preserve">Km</t>
  </si>
  <si>
    <t xml:space="preserve">Carregamento (€)</t>
  </si>
  <si>
    <t xml:space="preserve">Manut. e pneus (€)</t>
  </si>
  <si>
    <t xml:space="preserve">Portagens (€)</t>
  </si>
  <si>
    <t xml:space="preserve">Outros (€)</t>
  </si>
  <si>
    <t xml:space="preserve">LÍQUIDO (€)</t>
  </si>
  <si>
    <t xml:space="preserve">€/hora</t>
  </si>
  <si>
    <t xml:space="preserve">€/km</t>
  </si>
  <si>
    <t xml:space="preserve">Corridas/h</t>
  </si>
  <si>
    <t xml:space="preserve">Notas</t>
  </si>
  <si>
    <t xml:space="preserve">Noite (21h-00h)</t>
  </si>
  <si>
    <t xml:space="preserve">Cais do Sodré / Bairro Alto</t>
  </si>
  <si>
    <t xml:space="preserve">EXEMPLO — apaga esta linha. Carreguei a meio do turno.</t>
  </si>
  <si>
    <t xml:space="preserve">Resumo por bloco horário</t>
  </si>
  <si>
    <t xml:space="preserve">Ordena mentalmente pela coluna €/HORA. O verde é onde deves trabalhar; o vermelho é onde estás a perder tempo.</t>
  </si>
  <si>
    <t xml:space="preserve">Turnos</t>
  </si>
  <si>
    <t xml:space="preserve">Horas</t>
  </si>
  <si>
    <t xml:space="preserve">Líquido (€)</t>
  </si>
  <si>
    <t xml:space="preserve">€/HORA</t>
  </si>
  <si>
    <t xml:space="preserve">Madrugada (00h-05h)</t>
  </si>
  <si>
    <t xml:space="preserve">Manhã cedo (05h-08h)</t>
  </si>
  <si>
    <t xml:space="preserve">Manhã (08h-12h)</t>
  </si>
  <si>
    <t xml:space="preserve">Almoço (12h-15h)</t>
  </si>
  <si>
    <t xml:space="preserve">Tarde (15h-17h)</t>
  </si>
  <si>
    <t xml:space="preserve">Pico tarde (17h-21h)</t>
  </si>
  <si>
    <t xml:space="preserve">Turno longo / misto</t>
  </si>
  <si>
    <t xml:space="preserve">TOTAL</t>
  </si>
  <si>
    <t xml:space="preserve">Resumo por zona</t>
  </si>
  <si>
    <t xml:space="preserve">Zona onde passaste a maior parte do turno. Compara o €/hora e o €/km: uma zona com bom €/hora mas mau €/km está a queimar-te o carro.</t>
  </si>
  <si>
    <t xml:space="preserve">Baixa / Chiado</t>
  </si>
  <si>
    <t xml:space="preserve">Avenidas Novas / Saldanha</t>
  </si>
  <si>
    <t xml:space="preserve">Marquês / Av. Liberdade</t>
  </si>
  <si>
    <t xml:space="preserve">Belém / Restelo</t>
  </si>
  <si>
    <t xml:space="preserve">Campo de Ourique / Estrela</t>
  </si>
  <si>
    <t xml:space="preserve">Benfica / Luz</t>
  </si>
  <si>
    <t xml:space="preserve">Alvalade / Areeiro</t>
  </si>
  <si>
    <t xml:space="preserve">Lumiar / Telheiras</t>
  </si>
  <si>
    <t xml:space="preserve">Oeiras / Algés</t>
  </si>
  <si>
    <t xml:space="preserve">Sintra / Cascais</t>
  </si>
  <si>
    <t xml:space="preserve">Margem Sul</t>
  </si>
  <si>
    <t xml:space="preserve">Cidade / misto</t>
  </si>
  <si>
    <t xml:space="preserve">Resumo por dia da semana</t>
  </si>
  <si>
    <t xml:space="preserve">Ao fim de um mês vês quais os dias que compensam mesmo. Descansar num dia mau vale mais do que trabalhá-lo.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</si>
  <si>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</si>
  <si>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</si>
  <si>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</si>
  <si>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</si>
  <si>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</si>
  <si>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Sábado</t>
  </si>
  <si>
    <t xml:space="preserve">Domingo</t>
  </si>
  <si>
    <t xml:space="preserve">Resumo mensal — o que sobra mesmo</t>
  </si>
  <si>
    <t xml:space="preserve">O «Líquido dos turnos» já desconta comissão, carregamentos, manutenção/pneus, portagens e extras. Falta abater os custos fixos do mês (prestação e seguro, na Config) para chegar ao RESULTADO — é esse o teu rendimento antes de impostos.</t>
  </si>
  <si>
    <t xml:space="preserve">Líquido dos turnos (€)</t>
  </si>
  <si>
    <t xml:space="preserve">Custos fixos (€)</t>
  </si>
  <si>
    <t xml:space="preserve">RESULTADO (€)</t>
  </si>
  <si>
    <t xml:space="preserve">€/hora final</t>
  </si>
  <si>
    <t xml:space="preserve">Corridas</t>
  </si>
  <si>
    <t xml:space="preserve">Carregamentos (€)</t>
  </si>
  <si>
    <t xml:space="preserve">Energia por 100 km (€)</t>
  </si>
  <si>
    <t xml:space="preserve">Os custos fixos só são debitados nos meses em que registaste turnos. O RESULTADO é antes de IRS e Segurança Social — reserva uma parte. A coluna «Energia por 100 km» dá-te o custo real de eletricidade do carro a partir dos teus carregamentos.</t>
  </si>
  <si>
    <t xml:space="preserve">Config — pressupostos e custos</t>
  </si>
  <si>
    <t xml:space="preserve">Blocos horários</t>
  </si>
  <si>
    <t xml:space="preserve">Zonas</t>
  </si>
  <si>
    <t xml:space="preserve">Dias</t>
  </si>
  <si>
    <t xml:space="preserve">Preenche as células amarelas. Tudo o resto na folha depende destes valores.</t>
  </si>
  <si>
    <t xml:space="preserve">Custos variáveis (por km)</t>
  </si>
  <si>
    <t xml:space="preserve">Comissão da plataforma (%)</t>
  </si>
  <si>
    <t xml:space="preserve">Percentagem que a app retém sobre a faturação. Se a tua app já te mostra os ganhos JÁ líquidos de comissão, põe 0% aqui e regista esse valor na coluna Faturação.</t>
  </si>
  <si>
    <t xml:space="preserve">Manutenção e pneus por km (€/km)</t>
  </si>
  <si>
    <t xml:space="preserve">Só manutenção e pneus. Num Tesla a fazer TVDE os pneus são o grosso: um jogo de ~800 € a durar ~35.000 km dá 0,023 €/km; o resto (alinhamentos, filtros, escovas, líquidos) fecha nos ~0,03 €/km. Ajusta quando tiveres faturas reais.</t>
  </si>
  <si>
    <t xml:space="preserve">Eletricidade</t>
  </si>
  <si>
    <t xml:space="preserve">Não é estimada aqui</t>
  </si>
  <si>
    <t xml:space="preserve">Metes o valor real de cada carregamento na coluna «Carregamento (€)» do Registo Diário. O Resumo Mensal calcula depois quanto te custa mesmo a energia por 100 km.</t>
  </si>
  <si>
    <t xml:space="preserve">Custos fixos mensais</t>
  </si>
  <si>
    <t xml:space="preserve">Custos que pagas mesmo que não trabalhes. Entram no separador «Resumo Mensal».</t>
  </si>
  <si>
    <t xml:space="preserve">Prestação do carro</t>
  </si>
  <si>
    <t xml:space="preserve">Prestação mensal do Tesla.</t>
  </si>
  <si>
    <t xml:space="preserve">Seguro (970 €/ano ÷ 12)</t>
  </si>
  <si>
    <t xml:space="preserve">Calculado a partir do valor anual do seguro, na secção «Custos anuais» abaixo. Muda lá o valor e este acompanha.</t>
  </si>
  <si>
    <t xml:space="preserve">Outros custos fixos 1</t>
  </si>
  <si>
    <t xml:space="preserve">Livre, para um custo que pagues TODOS OS MESES. Ex.: contabilidade, telemóvel.</t>
  </si>
  <si>
    <t xml:space="preserve">Outros custos anuais ÷ 12</t>
  </si>
  <si>
    <t xml:space="preserve">Calculado a partir do valor anual da secção abaixo. Ex.: IUC, inspeção, licenças TVDE.</t>
  </si>
  <si>
    <t xml:space="preserve">TOTAL de custos fixos mensais</t>
  </si>
  <si>
    <t xml:space="preserve">Só entram aqui os custos que listares acima. O que pagares e não estiver nesta lista não é abatido em lado nenhum — o resultado mensal sai por isso melhor do que a realidade.</t>
  </si>
  <si>
    <t xml:space="preserve">Custos anuais (entram mensalizados na tabela acima)</t>
  </si>
  <si>
    <t xml:space="preserve">Seguro (anual)</t>
  </si>
  <si>
    <t xml:space="preserve">Seguro com cobertura de atividade TVDE. 970 €/ano = 80,83 €/mês, já refletido na tabela acima.</t>
  </si>
  <si>
    <t xml:space="preserve">Outros custos anuais</t>
  </si>
  <si>
    <t xml:space="preserve">Soma aqui o que pagas uma vez por ano: IUC, inspeção, certificado de motorista TVDE, dístico do veículo.</t>
  </si>
  <si>
    <t xml:space="preserve">Primeiro mês de atividade</t>
  </si>
  <si>
    <t xml:space="preserve">Define o primeiro mês listado no separador «Resumo Mensal». Ajusta se começares noutra data.</t>
  </si>
  <si>
    <t xml:space="preserve">Podes editar ou acrescentar zonas nesta lista — as caixas de seleção do registo acompanham.</t>
  </si>
  <si>
    <t xml:space="preserve">Legenda de cores</t>
  </si>
  <si>
    <t xml:space="preserve">Azul sobre amarelo</t>
  </si>
  <si>
    <t xml:space="preserve">Célula que preenches tu.</t>
  </si>
  <si>
    <t xml:space="preserve">Preto sobre cinzento</t>
  </si>
  <si>
    <t xml:space="preserve">Fórmula. Não escrevas por cima — perdes o cálculo.</t>
  </si>
  <si>
    <t xml:space="preserve">Verde</t>
  </si>
  <si>
    <t xml:space="preserve">Valor que vem de outro separador.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</si>
</sst>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mmm/yyyy"/>
    <numFmt numFmtId="167" formatCode="hh:mm"/>
    <numFmt numFmtId="168" formatCode="#,##0.0"/>
    <numFmt numFmtId="169" formatCode="#,##0"/>
    <numFmt numFmtId="170" formatCode="#,##0.00&quot; €&quot;"/>
    <numFmt numFmtId="171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DEDED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D9E2F3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2"/>
  </cols>
  <sheetData>
    <row r="1" customFormat="false" ht="19.7" hidden="false" customHeight="false" outlineLevel="0" collapsed="false">
      <c r="B1" s="1" t="s">
        <v>0</v>
      </c>
    </row>
    <row r="2" customFormat="false" ht="27.75" hidden="false" customHeight="true" outlineLevel="0" collapsed="false">
      <c r="C2" s="2" t="s">
        <v>1</v>
      </c>
    </row>
    <row r="4" customFormat="false" ht="15" hidden="false" customHeight="false" outlineLevel="0" collapsed="false">
      <c r="B4" s="3" t="s">
        <v>2</v>
      </c>
      <c r="C4" s="3"/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15" hidden="false" customHeight="false" outlineLevel="0" collapsed="false">
      <c r="B9" s="3" t="s">
        <v>11</v>
      </c>
      <c r="C9" s="3"/>
    </row>
    <row r="10" customFormat="false" ht="30" hidden="false" customHeight="true" outlineLevel="0" collapsed="false">
      <c r="B10" s="4" t="s">
        <v>12</v>
      </c>
      <c r="C10" s="5" t="s">
        <v>13</v>
      </c>
    </row>
    <row r="11" customFormat="false" ht="30" hidden="false" customHeight="true" outlineLevel="0" collapsed="false">
      <c r="B11" s="4" t="s">
        <v>14</v>
      </c>
      <c r="C11" s="5" t="s">
        <v>15</v>
      </c>
    </row>
    <row r="12" customFormat="false" ht="30" hidden="false" customHeight="true" outlineLevel="0" collapsed="false">
      <c r="B12" s="4" t="s">
        <v>16</v>
      </c>
      <c r="C12" s="5" t="s">
        <v>17</v>
      </c>
    </row>
    <row r="13" customFormat="false" ht="15" hidden="false" customHeight="false" outlineLevel="0" collapsed="false">
      <c r="B13" s="3" t="s">
        <v>18</v>
      </c>
      <c r="C13" s="3"/>
    </row>
    <row r="14" customFormat="false" ht="30" hidden="false" customHeight="true" outlineLevel="0" collapsed="false">
      <c r="B14" s="4" t="s">
        <v>19</v>
      </c>
      <c r="C14" s="5" t="s">
        <v>20</v>
      </c>
    </row>
    <row r="15" customFormat="false" ht="30" hidden="false" customHeight="true" outlineLevel="0" collapsed="false">
      <c r="B15" s="4" t="s">
        <v>21</v>
      </c>
      <c r="C15" s="5" t="s">
        <v>22</v>
      </c>
    </row>
    <row r="16" customFormat="false" ht="30" hidden="false" customHeight="true" outlineLevel="0" collapsed="false">
      <c r="B16" s="4" t="s">
        <v>23</v>
      </c>
      <c r="C16" s="5" t="s">
        <v>24</v>
      </c>
    </row>
    <row r="17" customFormat="false" ht="30" hidden="false" customHeight="true" outlineLevel="0" collapsed="false">
      <c r="B17" s="4" t="s">
        <v>25</v>
      </c>
      <c r="C17" s="5" t="s">
        <v>26</v>
      </c>
    </row>
    <row r="18" customFormat="false" ht="30" hidden="false" customHeight="true" outlineLevel="0" collapsed="false">
      <c r="B18" s="4" t="s">
        <v>27</v>
      </c>
      <c r="C18" s="5" t="s">
        <v>28</v>
      </c>
    </row>
    <row r="19" customFormat="false" ht="15" hidden="false" customHeight="false" outlineLevel="0" collapsed="false">
      <c r="B19" s="3" t="s">
        <v>29</v>
      </c>
      <c r="C19" s="3"/>
    </row>
    <row r="20" customFormat="false" ht="30" hidden="false" customHeight="true" outlineLevel="0" collapsed="false">
      <c r="B20" s="4" t="s">
        <v>30</v>
      </c>
      <c r="C20" s="5" t="s">
        <v>31</v>
      </c>
    </row>
    <row r="21" customFormat="false" ht="30" hidden="false" customHeight="true" outlineLevel="0" collapsed="false">
      <c r="B21" s="4" t="s">
        <v>32</v>
      </c>
      <c r="C21" s="5" t="s">
        <v>33</v>
      </c>
    </row>
    <row r="22" customFormat="false" ht="30" hidden="false" customHeight="true" outlineLevel="0" collapsed="false">
      <c r="B22" s="4" t="s">
        <v>34</v>
      </c>
      <c r="C22" s="5" t="s">
        <v>35</v>
      </c>
    </row>
    <row r="23" customFormat="false" ht="30" hidden="false" customHeight="true" outlineLevel="0" collapsed="false">
      <c r="B23" s="4" t="s">
        <v>36</v>
      </c>
      <c r="C23" s="5" t="s">
        <v>37</v>
      </c>
    </row>
    <row r="24" customFormat="false" ht="30" hidden="false" customHeight="true" outlineLevel="0" collapsed="false">
      <c r="B24" s="4" t="s">
        <v>38</v>
      </c>
      <c r="C24" s="5" t="s">
        <v>39</v>
      </c>
    </row>
    <row r="25" customFormat="false" ht="30" hidden="false" customHeight="true" outlineLevel="0" collapsed="false">
      <c r="B25" s="4" t="s">
        <v>40</v>
      </c>
      <c r="C25" s="5" t="s">
        <v>41</v>
      </c>
    </row>
    <row r="26" customFormat="false" ht="15" hidden="false" customHeight="false" outlineLevel="0" collapsed="false">
      <c r="B26" s="3" t="s">
        <v>42</v>
      </c>
      <c r="C26" s="3"/>
    </row>
    <row r="27" customFormat="false" ht="30" hidden="false" customHeight="true" outlineLevel="0" collapsed="false">
      <c r="B27" s="4" t="s">
        <v>43</v>
      </c>
      <c r="C27" s="5" t="s">
        <v>44</v>
      </c>
    </row>
    <row r="28" customFormat="false" ht="30" hidden="false" customHeight="true" outlineLevel="0" collapsed="false">
      <c r="B28" s="4" t="s">
        <v>45</v>
      </c>
      <c r="C28" s="5" t="s">
        <v>46</v>
      </c>
    </row>
    <row r="29" customFormat="false" ht="30" hidden="false" customHeight="true" outlineLevel="0" collapsed="false">
      <c r="B29" s="4" t="s">
        <v>47</v>
      </c>
      <c r="C29" s="5" t="s">
        <v>48</v>
      </c>
    </row>
    <row r="30" customFormat="false" ht="30" hidden="false" customHeight="true" outlineLevel="0" collapsed="false">
      <c r="B30" s="4" t="s">
        <v>49</v>
      </c>
      <c r="C30" s="5" t="s">
        <v>50</v>
      </c>
    </row>
    <row r="31" customFormat="false" ht="15" hidden="false" customHeight="false" outlineLevel="0" collapsed="false">
      <c r="B31" s="3" t="s">
        <v>51</v>
      </c>
      <c r="C31" s="3"/>
    </row>
    <row r="32" customFormat="false" ht="30" hidden="false" customHeight="true" outlineLevel="0" collapsed="false">
      <c r="B32" s="4" t="s">
        <v>52</v>
      </c>
      <c r="C32" s="5" t="s">
        <v>53</v>
      </c>
    </row>
    <row r="33" customFormat="false" ht="30" hidden="false" customHeight="true" outlineLevel="0" collapsed="false">
      <c r="B33" s="4" t="s">
        <v>54</v>
      </c>
      <c r="C33" s="5" t="s">
        <v>55</v>
      </c>
    </row>
    <row r="34" customFormat="false" ht="30" hidden="false" customHeight="true" outlineLevel="0" collapsed="false">
      <c r="B34" s="4" t="s">
        <v>56</v>
      </c>
      <c r="C34" s="5" t="s">
        <v>57</v>
      </c>
    </row>
    <row r="35" customFormat="false" ht="30" hidden="false" customHeight="true" outlineLevel="0" collapsed="false">
      <c r="B35" s="4" t="s">
        <v>58</v>
      </c>
      <c r="C35" s="5" t="s">
        <v>59</v>
      </c>
    </row>
    <row r="36" customFormat="false" ht="30" hidden="false" customHeight="true" outlineLevel="0" collapsed="false">
      <c r="B36" s="4" t="s">
        <v>60</v>
      </c>
      <c r="C36" s="5" t="s">
        <v>61</v>
      </c>
    </row>
    <row r="37" customFormat="false" ht="30" hidden="false" customHeight="true" outlineLevel="0" collapsed="false">
      <c r="B37" s="6" t="s">
        <v>62</v>
      </c>
      <c r="C37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0"/>
    <col collapsed="false" customWidth="true" hidden="false" outlineLevel="0" max="4" min="4" style="0" width="21"/>
    <col collapsed="false" customWidth="true" hidden="false" outlineLevel="0" max="5" min="5" style="0" width="26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34"/>
  </cols>
  <sheetData>
    <row r="1" customFormat="false" ht="30" hidden="false" customHeight="true" outlineLevel="0" collapsed="false">
      <c r="A1" s="8" t="s">
        <v>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customFormat="false" ht="30" hidden="false" customHeight="true" outlineLevel="0" collapsed="false">
      <c r="A2" s="9" t="s">
        <v>65</v>
      </c>
      <c r="B2" s="10" t="s">
        <v>66</v>
      </c>
      <c r="C2" s="10" t="s">
        <v>67</v>
      </c>
      <c r="D2" s="9" t="s">
        <v>68</v>
      </c>
      <c r="E2" s="9" t="s">
        <v>69</v>
      </c>
      <c r="F2" s="9" t="s">
        <v>70</v>
      </c>
      <c r="G2" s="9" t="s">
        <v>71</v>
      </c>
      <c r="H2" s="10" t="s">
        <v>72</v>
      </c>
      <c r="I2" s="9" t="s">
        <v>73</v>
      </c>
      <c r="J2" s="9" t="s">
        <v>74</v>
      </c>
      <c r="K2" s="10" t="s">
        <v>75</v>
      </c>
      <c r="L2" s="9" t="s">
        <v>76</v>
      </c>
      <c r="M2" s="9" t="s">
        <v>77</v>
      </c>
      <c r="N2" s="9" t="s">
        <v>78</v>
      </c>
      <c r="O2" s="10" t="s">
        <v>79</v>
      </c>
      <c r="P2" s="9" t="s">
        <v>80</v>
      </c>
      <c r="Q2" s="9" t="s">
        <v>81</v>
      </c>
      <c r="R2" s="10" t="s">
        <v>82</v>
      </c>
      <c r="S2" s="10" t="s">
        <v>83</v>
      </c>
      <c r="T2" s="10" t="s">
        <v>84</v>
      </c>
      <c r="U2" s="10" t="s">
        <v>85</v>
      </c>
      <c r="V2" s="9" t="s">
        <v>86</v>
      </c>
    </row>
    <row r="3" customFormat="false" ht="15" hidden="false" customHeight="false" outlineLevel="0" collapsed="false">
      <c r="A3" s="11" t="n">
        <v>46270</v>
      </c>
      <c r="B3" s="12" t="str">
        <f aca="false">IF($A3="","",INDEX(Config!$F$2:$F$8,WEEKDAY($A3,2)))</f>
        <v>Sábado</v>
      </c>
      <c r="C3" s="13" t="n">
        <f aca="false">IF($A3="","",EOMONTH($A3,0))</f>
        <v>46295</v>
      </c>
      <c r="D3" s="14" t="s">
        <v>87</v>
      </c>
      <c r="E3" s="14" t="s">
        <v>88</v>
      </c>
      <c r="F3" s="15" t="n">
        <v>0.895833333333333</v>
      </c>
      <c r="G3" s="15" t="n">
        <v>0.166666666666667</v>
      </c>
      <c r="H3" s="16" t="n">
        <f aca="false">IF(OR($F3="",$G3=""),"",($G3-$F3+IF($G3&lt;$F3,1,0))*24)</f>
        <v>6.5</v>
      </c>
      <c r="I3" s="17" t="n">
        <v>14</v>
      </c>
      <c r="J3" s="18" t="n">
        <v>168.4</v>
      </c>
      <c r="K3" s="19" t="n">
        <f aca="false">IF($J3="","",$J3*Config!$B$5)</f>
        <v>42.1</v>
      </c>
      <c r="L3" s="18" t="n">
        <v>6.5</v>
      </c>
      <c r="M3" s="17" t="n">
        <v>122</v>
      </c>
      <c r="N3" s="18" t="n">
        <v>11.8</v>
      </c>
      <c r="O3" s="19" t="n">
        <f aca="false">IF($M3="","",$M3*Config!$B$6)</f>
        <v>3.66</v>
      </c>
      <c r="P3" s="18" t="n">
        <v>3.2</v>
      </c>
      <c r="Q3" s="18" t="n">
        <v>2</v>
      </c>
      <c r="R3" s="20" t="n">
        <f aca="false">IF($J3="","",$J3-$K3+SUM($L3)-SUM($N3:$Q3))</f>
        <v>112.14</v>
      </c>
      <c r="S3" s="20" t="n">
        <f aca="false">IF(OR($R3="",$H3="",$H3=0),"",$R3/$H3)</f>
        <v>17.2523076923077</v>
      </c>
      <c r="T3" s="19" t="n">
        <f aca="false">IF(OR($R3="",$M3="",$M3=0),"",$R3/$M3)</f>
        <v>0.919180327868853</v>
      </c>
      <c r="U3" s="16" t="n">
        <f aca="false">IF(OR($H3="",$H3=0,$I3=""),"",$I3/$H3)</f>
        <v>2.15384615384615</v>
      </c>
      <c r="V3" s="14" t="s">
        <v>89</v>
      </c>
    </row>
    <row r="4" customFormat="false" ht="15" hidden="false" customHeight="false" outlineLevel="0" collapsed="false">
      <c r="A4" s="21"/>
      <c r="B4" s="22" t="str">
        <f aca="false">IF($A4="","",INDEX(Config!$F$2:$F$8,WEEKDAY($A4,2)))</f>
        <v/>
      </c>
      <c r="C4" s="23" t="str">
        <f aca="false">IF($A4="","",EOMONTH($A4,0))</f>
        <v/>
      </c>
      <c r="D4" s="24"/>
      <c r="E4" s="24"/>
      <c r="F4" s="25"/>
      <c r="G4" s="25"/>
      <c r="H4" s="26" t="str">
        <f aca="false">IF(OR($F4="",$G4=""),"",($G4-$F4+IF($G4&lt;$F4,1,0))*24)</f>
        <v/>
      </c>
      <c r="I4" s="27"/>
      <c r="J4" s="28"/>
      <c r="K4" s="29" t="str">
        <f aca="false">IF($J4="","",$J4*Config!$B$5)</f>
        <v/>
      </c>
      <c r="L4" s="28"/>
      <c r="M4" s="27"/>
      <c r="N4" s="28"/>
      <c r="O4" s="29" t="str">
        <f aca="false">IF($M4="","",$M4*Config!$B$6)</f>
        <v/>
      </c>
      <c r="P4" s="28"/>
      <c r="Q4" s="28"/>
      <c r="R4" s="30" t="str">
        <f aca="false">IF($J4="","",$J4-$K4+SUM($L4)-SUM($N4:$Q4))</f>
        <v/>
      </c>
      <c r="S4" s="30" t="str">
        <f aca="false">IF(OR($R4="",$H4="",$H4=0),"",$R4/$H4)</f>
        <v/>
      </c>
      <c r="T4" s="29" t="str">
        <f aca="false">IF(OR($R4="",$M4="",$M4=0),"",$R4/$M4)</f>
        <v/>
      </c>
      <c r="U4" s="26" t="str">
        <f aca="false">IF(OR($H4="",$H4=0,$I4=""),"",$I4/$H4)</f>
        <v/>
      </c>
      <c r="V4" s="24"/>
    </row>
    <row r="5" customFormat="false" ht="15" hidden="false" customHeight="false" outlineLevel="0" collapsed="false">
      <c r="A5" s="21"/>
      <c r="B5" s="22" t="str">
        <f aca="false">IF($A5="","",INDEX(Config!$F$2:$F$8,WEEKDAY($A5,2)))</f>
        <v/>
      </c>
      <c r="C5" s="23" t="str">
        <f aca="false">IF($A5="","",EOMONTH($A5,0))</f>
        <v/>
      </c>
      <c r="D5" s="24"/>
      <c r="E5" s="24"/>
      <c r="F5" s="25"/>
      <c r="G5" s="25"/>
      <c r="H5" s="26" t="str">
        <f aca="false">IF(OR($F5="",$G5=""),"",($G5-$F5+IF($G5&lt;$F5,1,0))*24)</f>
        <v/>
      </c>
      <c r="I5" s="27"/>
      <c r="J5" s="28"/>
      <c r="K5" s="29" t="str">
        <f aca="false">IF($J5="","",$J5*Config!$B$5)</f>
        <v/>
      </c>
      <c r="L5" s="28"/>
      <c r="M5" s="27"/>
      <c r="N5" s="28"/>
      <c r="O5" s="29" t="str">
        <f aca="false">IF($M5="","",$M5*Config!$B$6)</f>
        <v/>
      </c>
      <c r="P5" s="28"/>
      <c r="Q5" s="28"/>
      <c r="R5" s="30" t="str">
        <f aca="false">IF($J5="","",$J5-$K5+SUM($L5)-SUM($N5:$Q5))</f>
        <v/>
      </c>
      <c r="S5" s="30" t="str">
        <f aca="false">IF(OR($R5="",$H5="",$H5=0),"",$R5/$H5)</f>
        <v/>
      </c>
      <c r="T5" s="29" t="str">
        <f aca="false">IF(OR($R5="",$M5="",$M5=0),"",$R5/$M5)</f>
        <v/>
      </c>
      <c r="U5" s="26" t="str">
        <f aca="false">IF(OR($H5="",$H5=0,$I5=""),"",$I5/$H5)</f>
        <v/>
      </c>
      <c r="V5" s="24"/>
    </row>
    <row r="6" customFormat="false" ht="15" hidden="false" customHeight="false" outlineLevel="0" collapsed="false">
      <c r="A6" s="21"/>
      <c r="B6" s="22" t="str">
        <f aca="false">IF($A6="","",INDEX(Config!$F$2:$F$8,WEEKDAY($A6,2)))</f>
        <v/>
      </c>
      <c r="C6" s="23" t="str">
        <f aca="false">IF($A6="","",EOMONTH($A6,0))</f>
        <v/>
      </c>
      <c r="D6" s="24"/>
      <c r="E6" s="24"/>
      <c r="F6" s="25"/>
      <c r="G6" s="25"/>
      <c r="H6" s="26" t="str">
        <f aca="false">IF(OR($F6="",$G6=""),"",($G6-$F6+IF($G6&lt;$F6,1,0))*24)</f>
        <v/>
      </c>
      <c r="I6" s="27"/>
      <c r="J6" s="28"/>
      <c r="K6" s="29" t="str">
        <f aca="false">IF($J6="","",$J6*Config!$B$5)</f>
        <v/>
      </c>
      <c r="L6" s="28"/>
      <c r="M6" s="27"/>
      <c r="N6" s="28"/>
      <c r="O6" s="29" t="str">
        <f aca="false">IF($M6="","",$M6*Config!$B$6)</f>
        <v/>
      </c>
      <c r="P6" s="28"/>
      <c r="Q6" s="28"/>
      <c r="R6" s="30" t="str">
        <f aca="false">IF($J6="","",$J6-$K6+SUM($L6)-SUM($N6:$Q6))</f>
        <v/>
      </c>
      <c r="S6" s="30" t="str">
        <f aca="false">IF(OR($R6="",$H6="",$H6=0),"",$R6/$H6)</f>
        <v/>
      </c>
      <c r="T6" s="29" t="str">
        <f aca="false">IF(OR($R6="",$M6="",$M6=0),"",$R6/$M6)</f>
        <v/>
      </c>
      <c r="U6" s="26" t="str">
        <f aca="false">IF(OR($H6="",$H6=0,$I6=""),"",$I6/$H6)</f>
        <v/>
      </c>
      <c r="V6" s="24"/>
    </row>
    <row r="7" customFormat="false" ht="15" hidden="false" customHeight="false" outlineLevel="0" collapsed="false">
      <c r="A7" s="21"/>
      <c r="B7" s="22" t="str">
        <f aca="false">IF($A7="","",INDEX(Config!$F$2:$F$8,WEEKDAY($A7,2)))</f>
        <v/>
      </c>
      <c r="C7" s="23" t="str">
        <f aca="false">IF($A7="","",EOMONTH($A7,0))</f>
        <v/>
      </c>
      <c r="D7" s="24"/>
      <c r="E7" s="24"/>
      <c r="F7" s="25"/>
      <c r="G7" s="25"/>
      <c r="H7" s="26" t="str">
        <f aca="false">IF(OR($F7="",$G7=""),"",($G7-$F7+IF($G7&lt;$F7,1,0))*24)</f>
        <v/>
      </c>
      <c r="I7" s="27"/>
      <c r="J7" s="28"/>
      <c r="K7" s="29" t="str">
        <f aca="false">IF($J7="","",$J7*Config!$B$5)</f>
        <v/>
      </c>
      <c r="L7" s="28"/>
      <c r="M7" s="27"/>
      <c r="N7" s="28"/>
      <c r="O7" s="29" t="str">
        <f aca="false">IF($M7="","",$M7*Config!$B$6)</f>
        <v/>
      </c>
      <c r="P7" s="28"/>
      <c r="Q7" s="28"/>
      <c r="R7" s="30" t="str">
        <f aca="false">IF($J7="","",$J7-$K7+SUM($L7)-SUM($N7:$Q7))</f>
        <v/>
      </c>
      <c r="S7" s="30" t="str">
        <f aca="false">IF(OR($R7="",$H7="",$H7=0),"",$R7/$H7)</f>
        <v/>
      </c>
      <c r="T7" s="29" t="str">
        <f aca="false">IF(OR($R7="",$M7="",$M7=0),"",$R7/$M7)</f>
        <v/>
      </c>
      <c r="U7" s="26" t="str">
        <f aca="false">IF(OR($H7="",$H7=0,$I7=""),"",$I7/$H7)</f>
        <v/>
      </c>
      <c r="V7" s="24"/>
    </row>
    <row r="8" customFormat="false" ht="15" hidden="false" customHeight="false" outlineLevel="0" collapsed="false">
      <c r="A8" s="21"/>
      <c r="B8" s="22" t="str">
        <f aca="false">IF($A8="","",INDEX(Config!$F$2:$F$8,WEEKDAY($A8,2)))</f>
        <v/>
      </c>
      <c r="C8" s="23" t="str">
        <f aca="false">IF($A8="","",EOMONTH($A8,0))</f>
        <v/>
      </c>
      <c r="D8" s="24"/>
      <c r="E8" s="24"/>
      <c r="F8" s="25"/>
      <c r="G8" s="25"/>
      <c r="H8" s="26" t="str">
        <f aca="false">IF(OR($F8="",$G8=""),"",($G8-$F8+IF($G8&lt;$F8,1,0))*24)</f>
        <v/>
      </c>
      <c r="I8" s="27"/>
      <c r="J8" s="28"/>
      <c r="K8" s="29" t="str">
        <f aca="false">IF($J8="","",$J8*Config!$B$5)</f>
        <v/>
      </c>
      <c r="L8" s="28"/>
      <c r="M8" s="27"/>
      <c r="N8" s="28"/>
      <c r="O8" s="29" t="str">
        <f aca="false">IF($M8="","",$M8*Config!$B$6)</f>
        <v/>
      </c>
      <c r="P8" s="28"/>
      <c r="Q8" s="28"/>
      <c r="R8" s="30" t="str">
        <f aca="false">IF($J8="","",$J8-$K8+SUM($L8)-SUM($N8:$Q8))</f>
        <v/>
      </c>
      <c r="S8" s="30" t="str">
        <f aca="false">IF(OR($R8="",$H8="",$H8=0),"",$R8/$H8)</f>
        <v/>
      </c>
      <c r="T8" s="29" t="str">
        <f aca="false">IF(OR($R8="",$M8="",$M8=0),"",$R8/$M8)</f>
        <v/>
      </c>
      <c r="U8" s="26" t="str">
        <f aca="false">IF(OR($H8="",$H8=0,$I8=""),"",$I8/$H8)</f>
        <v/>
      </c>
      <c r="V8" s="24"/>
    </row>
    <row r="9" customFormat="false" ht="15" hidden="false" customHeight="false" outlineLevel="0" collapsed="false">
      <c r="A9" s="21"/>
      <c r="B9" s="22" t="str">
        <f aca="false">IF($A9="","",INDEX(Config!$F$2:$F$8,WEEKDAY($A9,2)))</f>
        <v/>
      </c>
      <c r="C9" s="23" t="str">
        <f aca="false">IF($A9="","",EOMONTH($A9,0))</f>
        <v/>
      </c>
      <c r="D9" s="24"/>
      <c r="E9" s="24"/>
      <c r="F9" s="25"/>
      <c r="G9" s="25"/>
      <c r="H9" s="26" t="str">
        <f aca="false">IF(OR($F9="",$G9=""),"",($G9-$F9+IF($G9&lt;$F9,1,0))*24)</f>
        <v/>
      </c>
      <c r="I9" s="27"/>
      <c r="J9" s="28"/>
      <c r="K9" s="29" t="str">
        <f aca="false">IF($J9="","",$J9*Config!$B$5)</f>
        <v/>
      </c>
      <c r="L9" s="28"/>
      <c r="M9" s="27"/>
      <c r="N9" s="28"/>
      <c r="O9" s="29" t="str">
        <f aca="false">IF($M9="","",$M9*Config!$B$6)</f>
        <v/>
      </c>
      <c r="P9" s="28"/>
      <c r="Q9" s="28"/>
      <c r="R9" s="30" t="str">
        <f aca="false">IF($J9="","",$J9-$K9+SUM($L9)-SUM($N9:$Q9))</f>
        <v/>
      </c>
      <c r="S9" s="30" t="str">
        <f aca="false">IF(OR($R9="",$H9="",$H9=0),"",$R9/$H9)</f>
        <v/>
      </c>
      <c r="T9" s="29" t="str">
        <f aca="false">IF(OR($R9="",$M9="",$M9=0),"",$R9/$M9)</f>
        <v/>
      </c>
      <c r="U9" s="26" t="str">
        <f aca="false">IF(OR($H9="",$H9=0,$I9=""),"",$I9/$H9)</f>
        <v/>
      </c>
      <c r="V9" s="24"/>
    </row>
    <row r="10" customFormat="false" ht="15" hidden="false" customHeight="false" outlineLevel="0" collapsed="false">
      <c r="A10" s="21"/>
      <c r="B10" s="22" t="str">
        <f aca="false">IF($A10="","",INDEX(Config!$F$2:$F$8,WEEKDAY($A10,2)))</f>
        <v/>
      </c>
      <c r="C10" s="23" t="str">
        <f aca="false">IF($A10="","",EOMONTH($A10,0))</f>
        <v/>
      </c>
      <c r="D10" s="24"/>
      <c r="E10" s="24"/>
      <c r="F10" s="25"/>
      <c r="G10" s="25"/>
      <c r="H10" s="26" t="str">
        <f aca="false">IF(OR($F10="",$G10=""),"",($G10-$F10+IF($G10&lt;$F10,1,0))*24)</f>
        <v/>
      </c>
      <c r="I10" s="27"/>
      <c r="J10" s="28"/>
      <c r="K10" s="29" t="str">
        <f aca="false">IF($J10="","",$J10*Config!$B$5)</f>
        <v/>
      </c>
      <c r="L10" s="28"/>
      <c r="M10" s="27"/>
      <c r="N10" s="28"/>
      <c r="O10" s="29" t="str">
        <f aca="false">IF($M10="","",$M10*Config!$B$6)</f>
        <v/>
      </c>
      <c r="P10" s="28"/>
      <c r="Q10" s="28"/>
      <c r="R10" s="30" t="str">
        <f aca="false">IF($J10="","",$J10-$K10+SUM($L10)-SUM($N10:$Q10))</f>
        <v/>
      </c>
      <c r="S10" s="30" t="str">
        <f aca="false">IF(OR($R10="",$H10="",$H10=0),"",$R10/$H10)</f>
        <v/>
      </c>
      <c r="T10" s="29" t="str">
        <f aca="false">IF(OR($R10="",$M10="",$M10=0),"",$R10/$M10)</f>
        <v/>
      </c>
      <c r="U10" s="26" t="str">
        <f aca="false">IF(OR($H10="",$H10=0,$I10=""),"",$I10/$H10)</f>
        <v/>
      </c>
      <c r="V10" s="24"/>
    </row>
    <row r="11" customFormat="false" ht="15" hidden="false" customHeight="false" outlineLevel="0" collapsed="false">
      <c r="A11" s="21"/>
      <c r="B11" s="22" t="str">
        <f aca="false">IF($A11="","",INDEX(Config!$F$2:$F$8,WEEKDAY($A11,2)))</f>
        <v/>
      </c>
      <c r="C11" s="23" t="str">
        <f aca="false">IF($A11="","",EOMONTH($A11,0))</f>
        <v/>
      </c>
      <c r="D11" s="24"/>
      <c r="E11" s="24"/>
      <c r="F11" s="25"/>
      <c r="G11" s="25"/>
      <c r="H11" s="26" t="str">
        <f aca="false">IF(OR($F11="",$G11=""),"",($G11-$F11+IF($G11&lt;$F11,1,0))*24)</f>
        <v/>
      </c>
      <c r="I11" s="27"/>
      <c r="J11" s="28"/>
      <c r="K11" s="29" t="str">
        <f aca="false">IF($J11="","",$J11*Config!$B$5)</f>
        <v/>
      </c>
      <c r="L11" s="28"/>
      <c r="M11" s="27"/>
      <c r="N11" s="28"/>
      <c r="O11" s="29" t="str">
        <f aca="false">IF($M11="","",$M11*Config!$B$6)</f>
        <v/>
      </c>
      <c r="P11" s="28"/>
      <c r="Q11" s="28"/>
      <c r="R11" s="30" t="str">
        <f aca="false">IF($J11="","",$J11-$K11+SUM($L11)-SUM($N11:$Q11))</f>
        <v/>
      </c>
      <c r="S11" s="30" t="str">
        <f aca="false">IF(OR($R11="",$H11="",$H11=0),"",$R11/$H11)</f>
        <v/>
      </c>
      <c r="T11" s="29" t="str">
        <f aca="false">IF(OR($R11="",$M11="",$M11=0),"",$R11/$M11)</f>
        <v/>
      </c>
      <c r="U11" s="26" t="str">
        <f aca="false">IF(OR($H11="",$H11=0,$I11=""),"",$I11/$H11)</f>
        <v/>
      </c>
      <c r="V11" s="24"/>
    </row>
    <row r="12" customFormat="false" ht="15" hidden="false" customHeight="false" outlineLevel="0" collapsed="false">
      <c r="A12" s="21"/>
      <c r="B12" s="22" t="str">
        <f aca="false">IF($A12="","",INDEX(Config!$F$2:$F$8,WEEKDAY($A12,2)))</f>
        <v/>
      </c>
      <c r="C12" s="23" t="str">
        <f aca="false">IF($A12="","",EOMONTH($A12,0))</f>
        <v/>
      </c>
      <c r="D12" s="24"/>
      <c r="E12" s="24"/>
      <c r="F12" s="25"/>
      <c r="G12" s="25"/>
      <c r="H12" s="26" t="str">
        <f aca="false">IF(OR($F12="",$G12=""),"",($G12-$F12+IF($G12&lt;$F12,1,0))*24)</f>
        <v/>
      </c>
      <c r="I12" s="27"/>
      <c r="J12" s="28"/>
      <c r="K12" s="29" t="str">
        <f aca="false">IF($J12="","",$J12*Config!$B$5)</f>
        <v/>
      </c>
      <c r="L12" s="28"/>
      <c r="M12" s="27"/>
      <c r="N12" s="28"/>
      <c r="O12" s="29" t="str">
        <f aca="false">IF($M12="","",$M12*Config!$B$6)</f>
        <v/>
      </c>
      <c r="P12" s="28"/>
      <c r="Q12" s="28"/>
      <c r="R12" s="30" t="str">
        <f aca="false">IF($J12="","",$J12-$K12+SUM($L12)-SUM($N12:$Q12))</f>
        <v/>
      </c>
      <c r="S12" s="30" t="str">
        <f aca="false">IF(OR($R12="",$H12="",$H12=0),"",$R12/$H12)</f>
        <v/>
      </c>
      <c r="T12" s="29" t="str">
        <f aca="false">IF(OR($R12="",$M12="",$M12=0),"",$R12/$M12)</f>
        <v/>
      </c>
      <c r="U12" s="26" t="str">
        <f aca="false">IF(OR($H12="",$H12=0,$I12=""),"",$I12/$H12)</f>
        <v/>
      </c>
      <c r="V12" s="24"/>
    </row>
    <row r="13" customFormat="false" ht="15" hidden="false" customHeight="false" outlineLevel="0" collapsed="false">
      <c r="A13" s="21"/>
      <c r="B13" s="22" t="str">
        <f aca="false">IF($A13="","",INDEX(Config!$F$2:$F$8,WEEKDAY($A13,2)))</f>
        <v/>
      </c>
      <c r="C13" s="23" t="str">
        <f aca="false">IF($A13="","",EOMONTH($A13,0))</f>
        <v/>
      </c>
      <c r="D13" s="24"/>
      <c r="E13" s="24"/>
      <c r="F13" s="25"/>
      <c r="G13" s="25"/>
      <c r="H13" s="26" t="str">
        <f aca="false">IF(OR($F13="",$G13=""),"",($G13-$F13+IF($G13&lt;$F13,1,0))*24)</f>
        <v/>
      </c>
      <c r="I13" s="27"/>
      <c r="J13" s="28"/>
      <c r="K13" s="29" t="str">
        <f aca="false">IF($J13="","",$J13*Config!$B$5)</f>
        <v/>
      </c>
      <c r="L13" s="28"/>
      <c r="M13" s="27"/>
      <c r="N13" s="28"/>
      <c r="O13" s="29" t="str">
        <f aca="false">IF($M13="","",$M13*Config!$B$6)</f>
        <v/>
      </c>
      <c r="P13" s="28"/>
      <c r="Q13" s="28"/>
      <c r="R13" s="30" t="str">
        <f aca="false">IF($J13="","",$J13-$K13+SUM($L13)-SUM($N13:$Q13))</f>
        <v/>
      </c>
      <c r="S13" s="30" t="str">
        <f aca="false">IF(OR($R13="",$H13="",$H13=0),"",$R13/$H13)</f>
        <v/>
      </c>
      <c r="T13" s="29" t="str">
        <f aca="false">IF(OR($R13="",$M13="",$M13=0),"",$R13/$M13)</f>
        <v/>
      </c>
      <c r="U13" s="26" t="str">
        <f aca="false">IF(OR($H13="",$H13=0,$I13=""),"",$I13/$H13)</f>
        <v/>
      </c>
      <c r="V13" s="24"/>
    </row>
    <row r="14" customFormat="false" ht="15" hidden="false" customHeight="false" outlineLevel="0" collapsed="false">
      <c r="A14" s="21"/>
      <c r="B14" s="22" t="str">
        <f aca="false">IF($A14="","",INDEX(Config!$F$2:$F$8,WEEKDAY($A14,2)))</f>
        <v/>
      </c>
      <c r="C14" s="23" t="str">
        <f aca="false">IF($A14="","",EOMONTH($A14,0))</f>
        <v/>
      </c>
      <c r="D14" s="24"/>
      <c r="E14" s="24"/>
      <c r="F14" s="25"/>
      <c r="G14" s="25"/>
      <c r="H14" s="26" t="str">
        <f aca="false">IF(OR($F14="",$G14=""),"",($G14-$F14+IF($G14&lt;$F14,1,0))*24)</f>
        <v/>
      </c>
      <c r="I14" s="27"/>
      <c r="J14" s="28"/>
      <c r="K14" s="29" t="str">
        <f aca="false">IF($J14="","",$J14*Config!$B$5)</f>
        <v/>
      </c>
      <c r="L14" s="28"/>
      <c r="M14" s="27"/>
      <c r="N14" s="28"/>
      <c r="O14" s="29" t="str">
        <f aca="false">IF($M14="","",$M14*Config!$B$6)</f>
        <v/>
      </c>
      <c r="P14" s="28"/>
      <c r="Q14" s="28"/>
      <c r="R14" s="30" t="str">
        <f aca="false">IF($J14="","",$J14-$K14+SUM($L14)-SUM($N14:$Q14))</f>
        <v/>
      </c>
      <c r="S14" s="30" t="str">
        <f aca="false">IF(OR($R14="",$H14="",$H14=0),"",$R14/$H14)</f>
        <v/>
      </c>
      <c r="T14" s="29" t="str">
        <f aca="false">IF(OR($R14="",$M14="",$M14=0),"",$R14/$M14)</f>
        <v/>
      </c>
      <c r="U14" s="26" t="str">
        <f aca="false">IF(OR($H14="",$H14=0,$I14=""),"",$I14/$H14)</f>
        <v/>
      </c>
      <c r="V14" s="24"/>
    </row>
    <row r="15" customFormat="false" ht="15" hidden="false" customHeight="false" outlineLevel="0" collapsed="false">
      <c r="A15" s="21"/>
      <c r="B15" s="22" t="str">
        <f aca="false">IF($A15="","",INDEX(Config!$F$2:$F$8,WEEKDAY($A15,2)))</f>
        <v/>
      </c>
      <c r="C15" s="23" t="str">
        <f aca="false">IF($A15="","",EOMONTH($A15,0))</f>
        <v/>
      </c>
      <c r="D15" s="24"/>
      <c r="E15" s="24"/>
      <c r="F15" s="25"/>
      <c r="G15" s="25"/>
      <c r="H15" s="26" t="str">
        <f aca="false">IF(OR($F15="",$G15=""),"",($G15-$F15+IF($G15&lt;$F15,1,0))*24)</f>
        <v/>
      </c>
      <c r="I15" s="27"/>
      <c r="J15" s="28"/>
      <c r="K15" s="29" t="str">
        <f aca="false">IF($J15="","",$J15*Config!$B$5)</f>
        <v/>
      </c>
      <c r="L15" s="28"/>
      <c r="M15" s="27"/>
      <c r="N15" s="28"/>
      <c r="O15" s="29" t="str">
        <f aca="false">IF($M15="","",$M15*Config!$B$6)</f>
        <v/>
      </c>
      <c r="P15" s="28"/>
      <c r="Q15" s="28"/>
      <c r="R15" s="30" t="str">
        <f aca="false">IF($J15="","",$J15-$K15+SUM($L15)-SUM($N15:$Q15))</f>
        <v/>
      </c>
      <c r="S15" s="30" t="str">
        <f aca="false">IF(OR($R15="",$H15="",$H15=0),"",$R15/$H15)</f>
        <v/>
      </c>
      <c r="T15" s="29" t="str">
        <f aca="false">IF(OR($R15="",$M15="",$M15=0),"",$R15/$M15)</f>
        <v/>
      </c>
      <c r="U15" s="26" t="str">
        <f aca="false">IF(OR($H15="",$H15=0,$I15=""),"",$I15/$H15)</f>
        <v/>
      </c>
      <c r="V15" s="24"/>
    </row>
    <row r="16" customFormat="false" ht="15" hidden="false" customHeight="false" outlineLevel="0" collapsed="false">
      <c r="A16" s="21"/>
      <c r="B16" s="22" t="str">
        <f aca="false">IF($A16="","",INDEX(Config!$F$2:$F$8,WEEKDAY($A16,2)))</f>
        <v/>
      </c>
      <c r="C16" s="23" t="str">
        <f aca="false">IF($A16="","",EOMONTH($A16,0))</f>
        <v/>
      </c>
      <c r="D16" s="24"/>
      <c r="E16" s="24"/>
      <c r="F16" s="25"/>
      <c r="G16" s="25"/>
      <c r="H16" s="26" t="str">
        <f aca="false">IF(OR($F16="",$G16=""),"",($G16-$F16+IF($G16&lt;$F16,1,0))*24)</f>
        <v/>
      </c>
      <c r="I16" s="27"/>
      <c r="J16" s="28"/>
      <c r="K16" s="29" t="str">
        <f aca="false">IF($J16="","",$J16*Config!$B$5)</f>
        <v/>
      </c>
      <c r="L16" s="28"/>
      <c r="M16" s="27"/>
      <c r="N16" s="28"/>
      <c r="O16" s="29" t="str">
        <f aca="false">IF($M16="","",$M16*Config!$B$6)</f>
        <v/>
      </c>
      <c r="P16" s="28"/>
      <c r="Q16" s="28"/>
      <c r="R16" s="30" t="str">
        <f aca="false">IF($J16="","",$J16-$K16+SUM($L16)-SUM($N16:$Q16))</f>
        <v/>
      </c>
      <c r="S16" s="30" t="str">
        <f aca="false">IF(OR($R16="",$H16="",$H16=0),"",$R16/$H16)</f>
        <v/>
      </c>
      <c r="T16" s="29" t="str">
        <f aca="false">IF(OR($R16="",$M16="",$M16=0),"",$R16/$M16)</f>
        <v/>
      </c>
      <c r="U16" s="26" t="str">
        <f aca="false">IF(OR($H16="",$H16=0,$I16=""),"",$I16/$H16)</f>
        <v/>
      </c>
      <c r="V16" s="24"/>
    </row>
    <row r="17" customFormat="false" ht="15" hidden="false" customHeight="false" outlineLevel="0" collapsed="false">
      <c r="A17" s="21"/>
      <c r="B17" s="22" t="str">
        <f aca="false">IF($A17="","",INDEX(Config!$F$2:$F$8,WEEKDAY($A17,2)))</f>
        <v/>
      </c>
      <c r="C17" s="23" t="str">
        <f aca="false">IF($A17="","",EOMONTH($A17,0))</f>
        <v/>
      </c>
      <c r="D17" s="24"/>
      <c r="E17" s="24"/>
      <c r="F17" s="25"/>
      <c r="G17" s="25"/>
      <c r="H17" s="26" t="str">
        <f aca="false">IF(OR($F17="",$G17=""),"",($G17-$F17+IF($G17&lt;$F17,1,0))*24)</f>
        <v/>
      </c>
      <c r="I17" s="27"/>
      <c r="J17" s="28"/>
      <c r="K17" s="29" t="str">
        <f aca="false">IF($J17="","",$J17*Config!$B$5)</f>
        <v/>
      </c>
      <c r="L17" s="28"/>
      <c r="M17" s="27"/>
      <c r="N17" s="28"/>
      <c r="O17" s="29" t="str">
        <f aca="false">IF($M17="","",$M17*Config!$B$6)</f>
        <v/>
      </c>
      <c r="P17" s="28"/>
      <c r="Q17" s="28"/>
      <c r="R17" s="30" t="str">
        <f aca="false">IF($J17="","",$J17-$K17+SUM($L17)-SUM($N17:$Q17))</f>
        <v/>
      </c>
      <c r="S17" s="30" t="str">
        <f aca="false">IF(OR($R17="",$H17="",$H17=0),"",$R17/$H17)</f>
        <v/>
      </c>
      <c r="T17" s="29" t="str">
        <f aca="false">IF(OR($R17="",$M17="",$M17=0),"",$R17/$M17)</f>
        <v/>
      </c>
      <c r="U17" s="26" t="str">
        <f aca="false">IF(OR($H17="",$H17=0,$I17=""),"",$I17/$H17)</f>
        <v/>
      </c>
      <c r="V17" s="24"/>
    </row>
    <row r="18" customFormat="false" ht="15" hidden="false" customHeight="false" outlineLevel="0" collapsed="false">
      <c r="A18" s="21"/>
      <c r="B18" s="22" t="str">
        <f aca="false">IF($A18="","",INDEX(Config!$F$2:$F$8,WEEKDAY($A18,2)))</f>
        <v/>
      </c>
      <c r="C18" s="23" t="str">
        <f aca="false">IF($A18="","",EOMONTH($A18,0))</f>
        <v/>
      </c>
      <c r="D18" s="24"/>
      <c r="E18" s="24"/>
      <c r="F18" s="25"/>
      <c r="G18" s="25"/>
      <c r="H18" s="26" t="str">
        <f aca="false">IF(OR($F18="",$G18=""),"",($G18-$F18+IF($G18&lt;$F18,1,0))*24)</f>
        <v/>
      </c>
      <c r="I18" s="27"/>
      <c r="J18" s="28"/>
      <c r="K18" s="29" t="str">
        <f aca="false">IF($J18="","",$J18*Config!$B$5)</f>
        <v/>
      </c>
      <c r="L18" s="28"/>
      <c r="M18" s="27"/>
      <c r="N18" s="28"/>
      <c r="O18" s="29" t="str">
        <f aca="false">IF($M18="","",$M18*Config!$B$6)</f>
        <v/>
      </c>
      <c r="P18" s="28"/>
      <c r="Q18" s="28"/>
      <c r="R18" s="30" t="str">
        <f aca="false">IF($J18="","",$J18-$K18+SUM($L18)-SUM($N18:$Q18))</f>
        <v/>
      </c>
      <c r="S18" s="30" t="str">
        <f aca="false">IF(OR($R18="",$H18="",$H18=0),"",$R18/$H18)</f>
        <v/>
      </c>
      <c r="T18" s="29" t="str">
        <f aca="false">IF(OR($R18="",$M18="",$M18=0),"",$R18/$M18)</f>
        <v/>
      </c>
      <c r="U18" s="26" t="str">
        <f aca="false">IF(OR($H18="",$H18=0,$I18=""),"",$I18/$H18)</f>
        <v/>
      </c>
      <c r="V18" s="24"/>
    </row>
    <row r="19" customFormat="false" ht="15" hidden="false" customHeight="false" outlineLevel="0" collapsed="false">
      <c r="A19" s="21"/>
      <c r="B19" s="22" t="str">
        <f aca="false">IF($A19="","",INDEX(Config!$F$2:$F$8,WEEKDAY($A19,2)))</f>
        <v/>
      </c>
      <c r="C19" s="23" t="str">
        <f aca="false">IF($A19="","",EOMONTH($A19,0))</f>
        <v/>
      </c>
      <c r="D19" s="24"/>
      <c r="E19" s="24"/>
      <c r="F19" s="25"/>
      <c r="G19" s="25"/>
      <c r="H19" s="26" t="str">
        <f aca="false">IF(OR($F19="",$G19=""),"",($G19-$F19+IF($G19&lt;$F19,1,0))*24)</f>
        <v/>
      </c>
      <c r="I19" s="27"/>
      <c r="J19" s="28"/>
      <c r="K19" s="29" t="str">
        <f aca="false">IF($J19="","",$J19*Config!$B$5)</f>
        <v/>
      </c>
      <c r="L19" s="28"/>
      <c r="M19" s="27"/>
      <c r="N19" s="28"/>
      <c r="O19" s="29" t="str">
        <f aca="false">IF($M19="","",$M19*Config!$B$6)</f>
        <v/>
      </c>
      <c r="P19" s="28"/>
      <c r="Q19" s="28"/>
      <c r="R19" s="30" t="str">
        <f aca="false">IF($J19="","",$J19-$K19+SUM($L19)-SUM($N19:$Q19))</f>
        <v/>
      </c>
      <c r="S19" s="30" t="str">
        <f aca="false">IF(OR($R19="",$H19="",$H19=0),"",$R19/$H19)</f>
        <v/>
      </c>
      <c r="T19" s="29" t="str">
        <f aca="false">IF(OR($R19="",$M19="",$M19=0),"",$R19/$M19)</f>
        <v/>
      </c>
      <c r="U19" s="26" t="str">
        <f aca="false">IF(OR($H19="",$H19=0,$I19=""),"",$I19/$H19)</f>
        <v/>
      </c>
      <c r="V19" s="24"/>
    </row>
    <row r="20" customFormat="false" ht="15" hidden="false" customHeight="false" outlineLevel="0" collapsed="false">
      <c r="A20" s="21"/>
      <c r="B20" s="22" t="str">
        <f aca="false">IF($A20="","",INDEX(Config!$F$2:$F$8,WEEKDAY($A20,2)))</f>
        <v/>
      </c>
      <c r="C20" s="23" t="str">
        <f aca="false">IF($A20="","",EOMONTH($A20,0))</f>
        <v/>
      </c>
      <c r="D20" s="24"/>
      <c r="E20" s="24"/>
      <c r="F20" s="25"/>
      <c r="G20" s="25"/>
      <c r="H20" s="26" t="str">
        <f aca="false">IF(OR($F20="",$G20=""),"",($G20-$F20+IF($G20&lt;$F20,1,0))*24)</f>
        <v/>
      </c>
      <c r="I20" s="27"/>
      <c r="J20" s="28"/>
      <c r="K20" s="29" t="str">
        <f aca="false">IF($J20="","",$J20*Config!$B$5)</f>
        <v/>
      </c>
      <c r="L20" s="28"/>
      <c r="M20" s="27"/>
      <c r="N20" s="28"/>
      <c r="O20" s="29" t="str">
        <f aca="false">IF($M20="","",$M20*Config!$B$6)</f>
        <v/>
      </c>
      <c r="P20" s="28"/>
      <c r="Q20" s="28"/>
      <c r="R20" s="30" t="str">
        <f aca="false">IF($J20="","",$J20-$K20+SUM($L20)-SUM($N20:$Q20))</f>
        <v/>
      </c>
      <c r="S20" s="30" t="str">
        <f aca="false">IF(OR($R20="",$H20="",$H20=0),"",$R20/$H20)</f>
        <v/>
      </c>
      <c r="T20" s="29" t="str">
        <f aca="false">IF(OR($R20="",$M20="",$M20=0),"",$R20/$M20)</f>
        <v/>
      </c>
      <c r="U20" s="26" t="str">
        <f aca="false">IF(OR($H20="",$H20=0,$I20=""),"",$I20/$H20)</f>
        <v/>
      </c>
      <c r="V20" s="24"/>
    </row>
    <row r="21" customFormat="false" ht="15" hidden="false" customHeight="false" outlineLevel="0" collapsed="false">
      <c r="A21" s="21"/>
      <c r="B21" s="22" t="str">
        <f aca="false">IF($A21="","",INDEX(Config!$F$2:$F$8,WEEKDAY($A21,2)))</f>
        <v/>
      </c>
      <c r="C21" s="23" t="str">
        <f aca="false">IF($A21="","",EOMONTH($A21,0))</f>
        <v/>
      </c>
      <c r="D21" s="24"/>
      <c r="E21" s="24"/>
      <c r="F21" s="25"/>
      <c r="G21" s="25"/>
      <c r="H21" s="26" t="str">
        <f aca="false">IF(OR($F21="",$G21=""),"",($G21-$F21+IF($G21&lt;$F21,1,0))*24)</f>
        <v/>
      </c>
      <c r="I21" s="27"/>
      <c r="J21" s="28"/>
      <c r="K21" s="29" t="str">
        <f aca="false">IF($J21="","",$J21*Config!$B$5)</f>
        <v/>
      </c>
      <c r="L21" s="28"/>
      <c r="M21" s="27"/>
      <c r="N21" s="28"/>
      <c r="O21" s="29" t="str">
        <f aca="false">IF($M21="","",$M21*Config!$B$6)</f>
        <v/>
      </c>
      <c r="P21" s="28"/>
      <c r="Q21" s="28"/>
      <c r="R21" s="30" t="str">
        <f aca="false">IF($J21="","",$J21-$K21+SUM($L21)-SUM($N21:$Q21))</f>
        <v/>
      </c>
      <c r="S21" s="30" t="str">
        <f aca="false">IF(OR($R21="",$H21="",$H21=0),"",$R21/$H21)</f>
        <v/>
      </c>
      <c r="T21" s="29" t="str">
        <f aca="false">IF(OR($R21="",$M21="",$M21=0),"",$R21/$M21)</f>
        <v/>
      </c>
      <c r="U21" s="26" t="str">
        <f aca="false">IF(OR($H21="",$H21=0,$I21=""),"",$I21/$H21)</f>
        <v/>
      </c>
      <c r="V21" s="24"/>
    </row>
    <row r="22" customFormat="false" ht="15" hidden="false" customHeight="false" outlineLevel="0" collapsed="false">
      <c r="A22" s="21"/>
      <c r="B22" s="22" t="str">
        <f aca="false">IF($A22="","",INDEX(Config!$F$2:$F$8,WEEKDAY($A22,2)))</f>
        <v/>
      </c>
      <c r="C22" s="23" t="str">
        <f aca="false">IF($A22="","",EOMONTH($A22,0))</f>
        <v/>
      </c>
      <c r="D22" s="24"/>
      <c r="E22" s="24"/>
      <c r="F22" s="25"/>
      <c r="G22" s="25"/>
      <c r="H22" s="26" t="str">
        <f aca="false">IF(OR($F22="",$G22=""),"",($G22-$F22+IF($G22&lt;$F22,1,0))*24)</f>
        <v/>
      </c>
      <c r="I22" s="27"/>
      <c r="J22" s="28"/>
      <c r="K22" s="29" t="str">
        <f aca="false">IF($J22="","",$J22*Config!$B$5)</f>
        <v/>
      </c>
      <c r="L22" s="28"/>
      <c r="M22" s="27"/>
      <c r="N22" s="28"/>
      <c r="O22" s="29" t="str">
        <f aca="false">IF($M22="","",$M22*Config!$B$6)</f>
        <v/>
      </c>
      <c r="P22" s="28"/>
      <c r="Q22" s="28"/>
      <c r="R22" s="30" t="str">
        <f aca="false">IF($J22="","",$J22-$K22+SUM($L22)-SUM($N22:$Q22))</f>
        <v/>
      </c>
      <c r="S22" s="30" t="str">
        <f aca="false">IF(OR($R22="",$H22="",$H22=0),"",$R22/$H22)</f>
        <v/>
      </c>
      <c r="T22" s="29" t="str">
        <f aca="false">IF(OR($R22="",$M22="",$M22=0),"",$R22/$M22)</f>
        <v/>
      </c>
      <c r="U22" s="26" t="str">
        <f aca="false">IF(OR($H22="",$H22=0,$I22=""),"",$I22/$H22)</f>
        <v/>
      </c>
      <c r="V22" s="24"/>
    </row>
    <row r="23" customFormat="false" ht="15" hidden="false" customHeight="false" outlineLevel="0" collapsed="false">
      <c r="A23" s="21"/>
      <c r="B23" s="22" t="str">
        <f aca="false">IF($A23="","",INDEX(Config!$F$2:$F$8,WEEKDAY($A23,2)))</f>
        <v/>
      </c>
      <c r="C23" s="23" t="str">
        <f aca="false">IF($A23="","",EOMONTH($A23,0))</f>
        <v/>
      </c>
      <c r="D23" s="24"/>
      <c r="E23" s="24"/>
      <c r="F23" s="25"/>
      <c r="G23" s="25"/>
      <c r="H23" s="26" t="str">
        <f aca="false">IF(OR($F23="",$G23=""),"",($G23-$F23+IF($G23&lt;$F23,1,0))*24)</f>
        <v/>
      </c>
      <c r="I23" s="27"/>
      <c r="J23" s="28"/>
      <c r="K23" s="29" t="str">
        <f aca="false">IF($J23="","",$J23*Config!$B$5)</f>
        <v/>
      </c>
      <c r="L23" s="28"/>
      <c r="M23" s="27"/>
      <c r="N23" s="28"/>
      <c r="O23" s="29" t="str">
        <f aca="false">IF($M23="","",$M23*Config!$B$6)</f>
        <v/>
      </c>
      <c r="P23" s="28"/>
      <c r="Q23" s="28"/>
      <c r="R23" s="30" t="str">
        <f aca="false">IF($J23="","",$J23-$K23+SUM($L23)-SUM($N23:$Q23))</f>
        <v/>
      </c>
      <c r="S23" s="30" t="str">
        <f aca="false">IF(OR($R23="",$H23="",$H23=0),"",$R23/$H23)</f>
        <v/>
      </c>
      <c r="T23" s="29" t="str">
        <f aca="false">IF(OR($R23="",$M23="",$M23=0),"",$R23/$M23)</f>
        <v/>
      </c>
      <c r="U23" s="26" t="str">
        <f aca="false">IF(OR($H23="",$H23=0,$I23=""),"",$I23/$H23)</f>
        <v/>
      </c>
      <c r="V23" s="24"/>
    </row>
    <row r="24" customFormat="false" ht="15" hidden="false" customHeight="false" outlineLevel="0" collapsed="false">
      <c r="A24" s="21"/>
      <c r="B24" s="22" t="str">
        <f aca="false">IF($A24="","",INDEX(Config!$F$2:$F$8,WEEKDAY($A24,2)))</f>
        <v/>
      </c>
      <c r="C24" s="23" t="str">
        <f aca="false">IF($A24="","",EOMONTH($A24,0))</f>
        <v/>
      </c>
      <c r="D24" s="24"/>
      <c r="E24" s="24"/>
      <c r="F24" s="25"/>
      <c r="G24" s="25"/>
      <c r="H24" s="26" t="str">
        <f aca="false">IF(OR($F24="",$G24=""),"",($G24-$F24+IF($G24&lt;$F24,1,0))*24)</f>
        <v/>
      </c>
      <c r="I24" s="27"/>
      <c r="J24" s="28"/>
      <c r="K24" s="29" t="str">
        <f aca="false">IF($J24="","",$J24*Config!$B$5)</f>
        <v/>
      </c>
      <c r="L24" s="28"/>
      <c r="M24" s="27"/>
      <c r="N24" s="28"/>
      <c r="O24" s="29" t="str">
        <f aca="false">IF($M24="","",$M24*Config!$B$6)</f>
        <v/>
      </c>
      <c r="P24" s="28"/>
      <c r="Q24" s="28"/>
      <c r="R24" s="30" t="str">
        <f aca="false">IF($J24="","",$J24-$K24+SUM($L24)-SUM($N24:$Q24))</f>
        <v/>
      </c>
      <c r="S24" s="30" t="str">
        <f aca="false">IF(OR($R24="",$H24="",$H24=0),"",$R24/$H24)</f>
        <v/>
      </c>
      <c r="T24" s="29" t="str">
        <f aca="false">IF(OR($R24="",$M24="",$M24=0),"",$R24/$M24)</f>
        <v/>
      </c>
      <c r="U24" s="26" t="str">
        <f aca="false">IF(OR($H24="",$H24=0,$I24=""),"",$I24/$H24)</f>
        <v/>
      </c>
      <c r="V24" s="24"/>
    </row>
    <row r="25" customFormat="false" ht="15" hidden="false" customHeight="false" outlineLevel="0" collapsed="false">
      <c r="A25" s="21"/>
      <c r="B25" s="22" t="str">
        <f aca="false">IF($A25="","",INDEX(Config!$F$2:$F$8,WEEKDAY($A25,2)))</f>
        <v/>
      </c>
      <c r="C25" s="23" t="str">
        <f aca="false">IF($A25="","",EOMONTH($A25,0))</f>
        <v/>
      </c>
      <c r="D25" s="24"/>
      <c r="E25" s="24"/>
      <c r="F25" s="25"/>
      <c r="G25" s="25"/>
      <c r="H25" s="26" t="str">
        <f aca="false">IF(OR($F25="",$G25=""),"",($G25-$F25+IF($G25&lt;$F25,1,0))*24)</f>
        <v/>
      </c>
      <c r="I25" s="27"/>
      <c r="J25" s="28"/>
      <c r="K25" s="29" t="str">
        <f aca="false">IF($J25="","",$J25*Config!$B$5)</f>
        <v/>
      </c>
      <c r="L25" s="28"/>
      <c r="M25" s="27"/>
      <c r="N25" s="28"/>
      <c r="O25" s="29" t="str">
        <f aca="false">IF($M25="","",$M25*Config!$B$6)</f>
        <v/>
      </c>
      <c r="P25" s="28"/>
      <c r="Q25" s="28"/>
      <c r="R25" s="30" t="str">
        <f aca="false">IF($J25="","",$J25-$K25+SUM($L25)-SUM($N25:$Q25))</f>
        <v/>
      </c>
      <c r="S25" s="30" t="str">
        <f aca="false">IF(OR($R25="",$H25="",$H25=0),"",$R25/$H25)</f>
        <v/>
      </c>
      <c r="T25" s="29" t="str">
        <f aca="false">IF(OR($R25="",$M25="",$M25=0),"",$R25/$M25)</f>
        <v/>
      </c>
      <c r="U25" s="26" t="str">
        <f aca="false">IF(OR($H25="",$H25=0,$I25=""),"",$I25/$H25)</f>
        <v/>
      </c>
      <c r="V25" s="24"/>
    </row>
    <row r="26" customFormat="false" ht="15" hidden="false" customHeight="false" outlineLevel="0" collapsed="false">
      <c r="A26" s="21"/>
      <c r="B26" s="22" t="str">
        <f aca="false">IF($A26="","",INDEX(Config!$F$2:$F$8,WEEKDAY($A26,2)))</f>
        <v/>
      </c>
      <c r="C26" s="23" t="str">
        <f aca="false">IF($A26="","",EOMONTH($A26,0))</f>
        <v/>
      </c>
      <c r="D26" s="24"/>
      <c r="E26" s="24"/>
      <c r="F26" s="25"/>
      <c r="G26" s="25"/>
      <c r="H26" s="26" t="str">
        <f aca="false">IF(OR($F26="",$G26=""),"",($G26-$F26+IF($G26&lt;$F26,1,0))*24)</f>
        <v/>
      </c>
      <c r="I26" s="27"/>
      <c r="J26" s="28"/>
      <c r="K26" s="29" t="str">
        <f aca="false">IF($J26="","",$J26*Config!$B$5)</f>
        <v/>
      </c>
      <c r="L26" s="28"/>
      <c r="M26" s="27"/>
      <c r="N26" s="28"/>
      <c r="O26" s="29" t="str">
        <f aca="false">IF($M26="","",$M26*Config!$B$6)</f>
        <v/>
      </c>
      <c r="P26" s="28"/>
      <c r="Q26" s="28"/>
      <c r="R26" s="30" t="str">
        <f aca="false">IF($J26="","",$J26-$K26+SUM($L26)-SUM($N26:$Q26))</f>
        <v/>
      </c>
      <c r="S26" s="30" t="str">
        <f aca="false">IF(OR($R26="",$H26="",$H26=0),"",$R26/$H26)</f>
        <v/>
      </c>
      <c r="T26" s="29" t="str">
        <f aca="false">IF(OR($R26="",$M26="",$M26=0),"",$R26/$M26)</f>
        <v/>
      </c>
      <c r="U26" s="26" t="str">
        <f aca="false">IF(OR($H26="",$H26=0,$I26=""),"",$I26/$H26)</f>
        <v/>
      </c>
      <c r="V26" s="24"/>
    </row>
    <row r="27" customFormat="false" ht="15" hidden="false" customHeight="false" outlineLevel="0" collapsed="false">
      <c r="A27" s="21"/>
      <c r="B27" s="22" t="str">
        <f aca="false">IF($A27="","",INDEX(Config!$F$2:$F$8,WEEKDAY($A27,2)))</f>
        <v/>
      </c>
      <c r="C27" s="23" t="str">
        <f aca="false">IF($A27="","",EOMONTH($A27,0))</f>
        <v/>
      </c>
      <c r="D27" s="24"/>
      <c r="E27" s="24"/>
      <c r="F27" s="25"/>
      <c r="G27" s="25"/>
      <c r="H27" s="26" t="str">
        <f aca="false">IF(OR($F27="",$G27=""),"",($G27-$F27+IF($G27&lt;$F27,1,0))*24)</f>
        <v/>
      </c>
      <c r="I27" s="27"/>
      <c r="J27" s="28"/>
      <c r="K27" s="29" t="str">
        <f aca="false">IF($J27="","",$J27*Config!$B$5)</f>
        <v/>
      </c>
      <c r="L27" s="28"/>
      <c r="M27" s="27"/>
      <c r="N27" s="28"/>
      <c r="O27" s="29" t="str">
        <f aca="false">IF($M27="","",$M27*Config!$B$6)</f>
        <v/>
      </c>
      <c r="P27" s="28"/>
      <c r="Q27" s="28"/>
      <c r="R27" s="30" t="str">
        <f aca="false">IF($J27="","",$J27-$K27+SUM($L27)-SUM($N27:$Q27))</f>
        <v/>
      </c>
      <c r="S27" s="30" t="str">
        <f aca="false">IF(OR($R27="",$H27="",$H27=0),"",$R27/$H27)</f>
        <v/>
      </c>
      <c r="T27" s="29" t="str">
        <f aca="false">IF(OR($R27="",$M27="",$M27=0),"",$R27/$M27)</f>
        <v/>
      </c>
      <c r="U27" s="26" t="str">
        <f aca="false">IF(OR($H27="",$H27=0,$I27=""),"",$I27/$H27)</f>
        <v/>
      </c>
      <c r="V27" s="24"/>
    </row>
    <row r="28" customFormat="false" ht="15" hidden="false" customHeight="false" outlineLevel="0" collapsed="false">
      <c r="A28" s="21"/>
      <c r="B28" s="22" t="str">
        <f aca="false">IF($A28="","",INDEX(Config!$F$2:$F$8,WEEKDAY($A28,2)))</f>
        <v/>
      </c>
      <c r="C28" s="23" t="str">
        <f aca="false">IF($A28="","",EOMONTH($A28,0))</f>
        <v/>
      </c>
      <c r="D28" s="24"/>
      <c r="E28" s="24"/>
      <c r="F28" s="25"/>
      <c r="G28" s="25"/>
      <c r="H28" s="26" t="str">
        <f aca="false">IF(OR($F28="",$G28=""),"",($G28-$F28+IF($G28&lt;$F28,1,0))*24)</f>
        <v/>
      </c>
      <c r="I28" s="27"/>
      <c r="J28" s="28"/>
      <c r="K28" s="29" t="str">
        <f aca="false">IF($J28="","",$J28*Config!$B$5)</f>
        <v/>
      </c>
      <c r="L28" s="28"/>
      <c r="M28" s="27"/>
      <c r="N28" s="28"/>
      <c r="O28" s="29" t="str">
        <f aca="false">IF($M28="","",$M28*Config!$B$6)</f>
        <v/>
      </c>
      <c r="P28" s="28"/>
      <c r="Q28" s="28"/>
      <c r="R28" s="30" t="str">
        <f aca="false">IF($J28="","",$J28-$K28+SUM($L28)-SUM($N28:$Q28))</f>
        <v/>
      </c>
      <c r="S28" s="30" t="str">
        <f aca="false">IF(OR($R28="",$H28="",$H28=0),"",$R28/$H28)</f>
        <v/>
      </c>
      <c r="T28" s="29" t="str">
        <f aca="false">IF(OR($R28="",$M28="",$M28=0),"",$R28/$M28)</f>
        <v/>
      </c>
      <c r="U28" s="26" t="str">
        <f aca="false">IF(OR($H28="",$H28=0,$I28=""),"",$I28/$H28)</f>
        <v/>
      </c>
      <c r="V28" s="24"/>
    </row>
    <row r="29" customFormat="false" ht="15" hidden="false" customHeight="false" outlineLevel="0" collapsed="false">
      <c r="A29" s="21"/>
      <c r="B29" s="22" t="str">
        <f aca="false">IF($A29="","",INDEX(Config!$F$2:$F$8,WEEKDAY($A29,2)))</f>
        <v/>
      </c>
      <c r="C29" s="23" t="str">
        <f aca="false">IF($A29="","",EOMONTH($A29,0))</f>
        <v/>
      </c>
      <c r="D29" s="24"/>
      <c r="E29" s="24"/>
      <c r="F29" s="25"/>
      <c r="G29" s="25"/>
      <c r="H29" s="26" t="str">
        <f aca="false">IF(OR($F29="",$G29=""),"",($G29-$F29+IF($G29&lt;$F29,1,0))*24)</f>
        <v/>
      </c>
      <c r="I29" s="27"/>
      <c r="J29" s="28"/>
      <c r="K29" s="29" t="str">
        <f aca="false">IF($J29="","",$J29*Config!$B$5)</f>
        <v/>
      </c>
      <c r="L29" s="28"/>
      <c r="M29" s="27"/>
      <c r="N29" s="28"/>
      <c r="O29" s="29" t="str">
        <f aca="false">IF($M29="","",$M29*Config!$B$6)</f>
        <v/>
      </c>
      <c r="P29" s="28"/>
      <c r="Q29" s="28"/>
      <c r="R29" s="30" t="str">
        <f aca="false">IF($J29="","",$J29-$K29+SUM($L29)-SUM($N29:$Q29))</f>
        <v/>
      </c>
      <c r="S29" s="30" t="str">
        <f aca="false">IF(OR($R29="",$H29="",$H29=0),"",$R29/$H29)</f>
        <v/>
      </c>
      <c r="T29" s="29" t="str">
        <f aca="false">IF(OR($R29="",$M29="",$M29=0),"",$R29/$M29)</f>
        <v/>
      </c>
      <c r="U29" s="26" t="str">
        <f aca="false">IF(OR($H29="",$H29=0,$I29=""),"",$I29/$H29)</f>
        <v/>
      </c>
      <c r="V29" s="24"/>
    </row>
    <row r="30" customFormat="false" ht="15" hidden="false" customHeight="false" outlineLevel="0" collapsed="false">
      <c r="A30" s="21"/>
      <c r="B30" s="22" t="str">
        <f aca="false">IF($A30="","",INDEX(Config!$F$2:$F$8,WEEKDAY($A30,2)))</f>
        <v/>
      </c>
      <c r="C30" s="23" t="str">
        <f aca="false">IF($A30="","",EOMONTH($A30,0))</f>
        <v/>
      </c>
      <c r="D30" s="24"/>
      <c r="E30" s="24"/>
      <c r="F30" s="25"/>
      <c r="G30" s="25"/>
      <c r="H30" s="26" t="str">
        <f aca="false">IF(OR($F30="",$G30=""),"",($G30-$F30+IF($G30&lt;$F30,1,0))*24)</f>
        <v/>
      </c>
      <c r="I30" s="27"/>
      <c r="J30" s="28"/>
      <c r="K30" s="29" t="str">
        <f aca="false">IF($J30="","",$J30*Config!$B$5)</f>
        <v/>
      </c>
      <c r="L30" s="28"/>
      <c r="M30" s="27"/>
      <c r="N30" s="28"/>
      <c r="O30" s="29" t="str">
        <f aca="false">IF($M30="","",$M30*Config!$B$6)</f>
        <v/>
      </c>
      <c r="P30" s="28"/>
      <c r="Q30" s="28"/>
      <c r="R30" s="30" t="str">
        <f aca="false">IF($J30="","",$J30-$K30+SUM($L30)-SUM($N30:$Q30))</f>
        <v/>
      </c>
      <c r="S30" s="30" t="str">
        <f aca="false">IF(OR($R30="",$H30="",$H30=0),"",$R30/$H30)</f>
        <v/>
      </c>
      <c r="T30" s="29" t="str">
        <f aca="false">IF(OR($R30="",$M30="",$M30=0),"",$R30/$M30)</f>
        <v/>
      </c>
      <c r="U30" s="26" t="str">
        <f aca="false">IF(OR($H30="",$H30=0,$I30=""),"",$I30/$H30)</f>
        <v/>
      </c>
      <c r="V30" s="24"/>
    </row>
    <row r="31" customFormat="false" ht="15" hidden="false" customHeight="false" outlineLevel="0" collapsed="false">
      <c r="A31" s="21"/>
      <c r="B31" s="22" t="str">
        <f aca="false">IF($A31="","",INDEX(Config!$F$2:$F$8,WEEKDAY($A31,2)))</f>
        <v/>
      </c>
      <c r="C31" s="23" t="str">
        <f aca="false">IF($A31="","",EOMONTH($A31,0))</f>
        <v/>
      </c>
      <c r="D31" s="24"/>
      <c r="E31" s="24"/>
      <c r="F31" s="25"/>
      <c r="G31" s="25"/>
      <c r="H31" s="26" t="str">
        <f aca="false">IF(OR($F31="",$G31=""),"",($G31-$F31+IF($G31&lt;$F31,1,0))*24)</f>
        <v/>
      </c>
      <c r="I31" s="27"/>
      <c r="J31" s="28"/>
      <c r="K31" s="29" t="str">
        <f aca="false">IF($J31="","",$J31*Config!$B$5)</f>
        <v/>
      </c>
      <c r="L31" s="28"/>
      <c r="M31" s="27"/>
      <c r="N31" s="28"/>
      <c r="O31" s="29" t="str">
        <f aca="false">IF($M31="","",$M31*Config!$B$6)</f>
        <v/>
      </c>
      <c r="P31" s="28"/>
      <c r="Q31" s="28"/>
      <c r="R31" s="30" t="str">
        <f aca="false">IF($J31="","",$J31-$K31+SUM($L31)-SUM($N31:$Q31))</f>
        <v/>
      </c>
      <c r="S31" s="30" t="str">
        <f aca="false">IF(OR($R31="",$H31="",$H31=0),"",$R31/$H31)</f>
        <v/>
      </c>
      <c r="T31" s="29" t="str">
        <f aca="false">IF(OR($R31="",$M31="",$M31=0),"",$R31/$M31)</f>
        <v/>
      </c>
      <c r="U31" s="26" t="str">
        <f aca="false">IF(OR($H31="",$H31=0,$I31=""),"",$I31/$H31)</f>
        <v/>
      </c>
      <c r="V31" s="24"/>
    </row>
    <row r="32" customFormat="false" ht="15" hidden="false" customHeight="false" outlineLevel="0" collapsed="false">
      <c r="A32" s="21"/>
      <c r="B32" s="22" t="str">
        <f aca="false">IF($A32="","",INDEX(Config!$F$2:$F$8,WEEKDAY($A32,2)))</f>
        <v/>
      </c>
      <c r="C32" s="23" t="str">
        <f aca="false">IF($A32="","",EOMONTH($A32,0))</f>
        <v/>
      </c>
      <c r="D32" s="24"/>
      <c r="E32" s="24"/>
      <c r="F32" s="25"/>
      <c r="G32" s="25"/>
      <c r="H32" s="26" t="str">
        <f aca="false">IF(OR($F32="",$G32=""),"",($G32-$F32+IF($G32&lt;$F32,1,0))*24)</f>
        <v/>
      </c>
      <c r="I32" s="27"/>
      <c r="J32" s="28"/>
      <c r="K32" s="29" t="str">
        <f aca="false">IF($J32="","",$J32*Config!$B$5)</f>
        <v/>
      </c>
      <c r="L32" s="28"/>
      <c r="M32" s="27"/>
      <c r="N32" s="28"/>
      <c r="O32" s="29" t="str">
        <f aca="false">IF($M32="","",$M32*Config!$B$6)</f>
        <v/>
      </c>
      <c r="P32" s="28"/>
      <c r="Q32" s="28"/>
      <c r="R32" s="30" t="str">
        <f aca="false">IF($J32="","",$J32-$K32+SUM($L32)-SUM($N32:$Q32))</f>
        <v/>
      </c>
      <c r="S32" s="30" t="str">
        <f aca="false">IF(OR($R32="",$H32="",$H32=0),"",$R32/$H32)</f>
        <v/>
      </c>
      <c r="T32" s="29" t="str">
        <f aca="false">IF(OR($R32="",$M32="",$M32=0),"",$R32/$M32)</f>
        <v/>
      </c>
      <c r="U32" s="26" t="str">
        <f aca="false">IF(OR($H32="",$H32=0,$I32=""),"",$I32/$H32)</f>
        <v/>
      </c>
      <c r="V32" s="24"/>
    </row>
    <row r="33" customFormat="false" ht="15" hidden="false" customHeight="false" outlineLevel="0" collapsed="false">
      <c r="A33" s="21"/>
      <c r="B33" s="22" t="str">
        <f aca="false">IF($A33="","",INDEX(Config!$F$2:$F$8,WEEKDAY($A33,2)))</f>
        <v/>
      </c>
      <c r="C33" s="23" t="str">
        <f aca="false">IF($A33="","",EOMONTH($A33,0))</f>
        <v/>
      </c>
      <c r="D33" s="24"/>
      <c r="E33" s="24"/>
      <c r="F33" s="25"/>
      <c r="G33" s="25"/>
      <c r="H33" s="26" t="str">
        <f aca="false">IF(OR($F33="",$G33=""),"",($G33-$F33+IF($G33&lt;$F33,1,0))*24)</f>
        <v/>
      </c>
      <c r="I33" s="27"/>
      <c r="J33" s="28"/>
      <c r="K33" s="29" t="str">
        <f aca="false">IF($J33="","",$J33*Config!$B$5)</f>
        <v/>
      </c>
      <c r="L33" s="28"/>
      <c r="M33" s="27"/>
      <c r="N33" s="28"/>
      <c r="O33" s="29" t="str">
        <f aca="false">IF($M33="","",$M33*Config!$B$6)</f>
        <v/>
      </c>
      <c r="P33" s="28"/>
      <c r="Q33" s="28"/>
      <c r="R33" s="30" t="str">
        <f aca="false">IF($J33="","",$J33-$K33+SUM($L33)-SUM($N33:$Q33))</f>
        <v/>
      </c>
      <c r="S33" s="30" t="str">
        <f aca="false">IF(OR($R33="",$H33="",$H33=0),"",$R33/$H33)</f>
        <v/>
      </c>
      <c r="T33" s="29" t="str">
        <f aca="false">IF(OR($R33="",$M33="",$M33=0),"",$R33/$M33)</f>
        <v/>
      </c>
      <c r="U33" s="26" t="str">
        <f aca="false">IF(OR($H33="",$H33=0,$I33=""),"",$I33/$H33)</f>
        <v/>
      </c>
      <c r="V33" s="24"/>
    </row>
    <row r="34" customFormat="false" ht="15" hidden="false" customHeight="false" outlineLevel="0" collapsed="false">
      <c r="A34" s="21"/>
      <c r="B34" s="22" t="str">
        <f aca="false">IF($A34="","",INDEX(Config!$F$2:$F$8,WEEKDAY($A34,2)))</f>
        <v/>
      </c>
      <c r="C34" s="23" t="str">
        <f aca="false">IF($A34="","",EOMONTH($A34,0))</f>
        <v/>
      </c>
      <c r="D34" s="24"/>
      <c r="E34" s="24"/>
      <c r="F34" s="25"/>
      <c r="G34" s="25"/>
      <c r="H34" s="26" t="str">
        <f aca="false">IF(OR($F34="",$G34=""),"",($G34-$F34+IF($G34&lt;$F34,1,0))*24)</f>
        <v/>
      </c>
      <c r="I34" s="27"/>
      <c r="J34" s="28"/>
      <c r="K34" s="29" t="str">
        <f aca="false">IF($J34="","",$J34*Config!$B$5)</f>
        <v/>
      </c>
      <c r="L34" s="28"/>
      <c r="M34" s="27"/>
      <c r="N34" s="28"/>
      <c r="O34" s="29" t="str">
        <f aca="false">IF($M34="","",$M34*Config!$B$6)</f>
        <v/>
      </c>
      <c r="P34" s="28"/>
      <c r="Q34" s="28"/>
      <c r="R34" s="30" t="str">
        <f aca="false">IF($J34="","",$J34-$K34+SUM($L34)-SUM($N34:$Q34))</f>
        <v/>
      </c>
      <c r="S34" s="30" t="str">
        <f aca="false">IF(OR($R34="",$H34="",$H34=0),"",$R34/$H34)</f>
        <v/>
      </c>
      <c r="T34" s="29" t="str">
        <f aca="false">IF(OR($R34="",$M34="",$M34=0),"",$R34/$M34)</f>
        <v/>
      </c>
      <c r="U34" s="26" t="str">
        <f aca="false">IF(OR($H34="",$H34=0,$I34=""),"",$I34/$H34)</f>
        <v/>
      </c>
      <c r="V34" s="24"/>
    </row>
    <row r="35" customFormat="false" ht="15" hidden="false" customHeight="false" outlineLevel="0" collapsed="false">
      <c r="A35" s="21"/>
      <c r="B35" s="22" t="str">
        <f aca="false">IF($A35="","",INDEX(Config!$F$2:$F$8,WEEKDAY($A35,2)))</f>
        <v/>
      </c>
      <c r="C35" s="23" t="str">
        <f aca="false">IF($A35="","",EOMONTH($A35,0))</f>
        <v/>
      </c>
      <c r="D35" s="24"/>
      <c r="E35" s="24"/>
      <c r="F35" s="25"/>
      <c r="G35" s="25"/>
      <c r="H35" s="26" t="str">
        <f aca="false">IF(OR($F35="",$G35=""),"",($G35-$F35+IF($G35&lt;$F35,1,0))*24)</f>
        <v/>
      </c>
      <c r="I35" s="27"/>
      <c r="J35" s="28"/>
      <c r="K35" s="29" t="str">
        <f aca="false">IF($J35="","",$J35*Config!$B$5)</f>
        <v/>
      </c>
      <c r="L35" s="28"/>
      <c r="M35" s="27"/>
      <c r="N35" s="28"/>
      <c r="O35" s="29" t="str">
        <f aca="false">IF($M35="","",$M35*Config!$B$6)</f>
        <v/>
      </c>
      <c r="P35" s="28"/>
      <c r="Q35" s="28"/>
      <c r="R35" s="30" t="str">
        <f aca="false">IF($J35="","",$J35-$K35+SUM($L35)-SUM($N35:$Q35))</f>
        <v/>
      </c>
      <c r="S35" s="30" t="str">
        <f aca="false">IF(OR($R35="",$H35="",$H35=0),"",$R35/$H35)</f>
        <v/>
      </c>
      <c r="T35" s="29" t="str">
        <f aca="false">IF(OR($R35="",$M35="",$M35=0),"",$R35/$M35)</f>
        <v/>
      </c>
      <c r="U35" s="26" t="str">
        <f aca="false">IF(OR($H35="",$H35=0,$I35=""),"",$I35/$H35)</f>
        <v/>
      </c>
      <c r="V35" s="24"/>
    </row>
    <row r="36" customFormat="false" ht="15" hidden="false" customHeight="false" outlineLevel="0" collapsed="false">
      <c r="A36" s="21"/>
      <c r="B36" s="22" t="str">
        <f aca="false">IF($A36="","",INDEX(Config!$F$2:$F$8,WEEKDAY($A36,2)))</f>
        <v/>
      </c>
      <c r="C36" s="23" t="str">
        <f aca="false">IF($A36="","",EOMONTH($A36,0))</f>
        <v/>
      </c>
      <c r="D36" s="24"/>
      <c r="E36" s="24"/>
      <c r="F36" s="25"/>
      <c r="G36" s="25"/>
      <c r="H36" s="26" t="str">
        <f aca="false">IF(OR($F36="",$G36=""),"",($G36-$F36+IF($G36&lt;$F36,1,0))*24)</f>
        <v/>
      </c>
      <c r="I36" s="27"/>
      <c r="J36" s="28"/>
      <c r="K36" s="29" t="str">
        <f aca="false">IF($J36="","",$J36*Config!$B$5)</f>
        <v/>
      </c>
      <c r="L36" s="28"/>
      <c r="M36" s="27"/>
      <c r="N36" s="28"/>
      <c r="O36" s="29" t="str">
        <f aca="false">IF($M36="","",$M36*Config!$B$6)</f>
        <v/>
      </c>
      <c r="P36" s="28"/>
      <c r="Q36" s="28"/>
      <c r="R36" s="30" t="str">
        <f aca="false">IF($J36="","",$J36-$K36+SUM($L36)-SUM($N36:$Q36))</f>
        <v/>
      </c>
      <c r="S36" s="30" t="str">
        <f aca="false">IF(OR($R36="",$H36="",$H36=0),"",$R36/$H36)</f>
        <v/>
      </c>
      <c r="T36" s="29" t="str">
        <f aca="false">IF(OR($R36="",$M36="",$M36=0),"",$R36/$M36)</f>
        <v/>
      </c>
      <c r="U36" s="26" t="str">
        <f aca="false">IF(OR($H36="",$H36=0,$I36=""),"",$I36/$H36)</f>
        <v/>
      </c>
      <c r="V36" s="24"/>
    </row>
    <row r="37" customFormat="false" ht="15" hidden="false" customHeight="false" outlineLevel="0" collapsed="false">
      <c r="A37" s="21"/>
      <c r="B37" s="22" t="str">
        <f aca="false">IF($A37="","",INDEX(Config!$F$2:$F$8,WEEKDAY($A37,2)))</f>
        <v/>
      </c>
      <c r="C37" s="23" t="str">
        <f aca="false">IF($A37="","",EOMONTH($A37,0))</f>
        <v/>
      </c>
      <c r="D37" s="24"/>
      <c r="E37" s="24"/>
      <c r="F37" s="25"/>
      <c r="G37" s="25"/>
      <c r="H37" s="26" t="str">
        <f aca="false">IF(OR($F37="",$G37=""),"",($G37-$F37+IF($G37&lt;$F37,1,0))*24)</f>
        <v/>
      </c>
      <c r="I37" s="27"/>
      <c r="J37" s="28"/>
      <c r="K37" s="29" t="str">
        <f aca="false">IF($J37="","",$J37*Config!$B$5)</f>
        <v/>
      </c>
      <c r="L37" s="28"/>
      <c r="M37" s="27"/>
      <c r="N37" s="28"/>
      <c r="O37" s="29" t="str">
        <f aca="false">IF($M37="","",$M37*Config!$B$6)</f>
        <v/>
      </c>
      <c r="P37" s="28"/>
      <c r="Q37" s="28"/>
      <c r="R37" s="30" t="str">
        <f aca="false">IF($J37="","",$J37-$K37+SUM($L37)-SUM($N37:$Q37))</f>
        <v/>
      </c>
      <c r="S37" s="30" t="str">
        <f aca="false">IF(OR($R37="",$H37="",$H37=0),"",$R37/$H37)</f>
        <v/>
      </c>
      <c r="T37" s="29" t="str">
        <f aca="false">IF(OR($R37="",$M37="",$M37=0),"",$R37/$M37)</f>
        <v/>
      </c>
      <c r="U37" s="26" t="str">
        <f aca="false">IF(OR($H37="",$H37=0,$I37=""),"",$I37/$H37)</f>
        <v/>
      </c>
      <c r="V37" s="24"/>
    </row>
    <row r="38" customFormat="false" ht="15" hidden="false" customHeight="false" outlineLevel="0" collapsed="false">
      <c r="A38" s="21"/>
      <c r="B38" s="22" t="str">
        <f aca="false">IF($A38="","",INDEX(Config!$F$2:$F$8,WEEKDAY($A38,2)))</f>
        <v/>
      </c>
      <c r="C38" s="23" t="str">
        <f aca="false">IF($A38="","",EOMONTH($A38,0))</f>
        <v/>
      </c>
      <c r="D38" s="24"/>
      <c r="E38" s="24"/>
      <c r="F38" s="25"/>
      <c r="G38" s="25"/>
      <c r="H38" s="26" t="str">
        <f aca="false">IF(OR($F38="",$G38=""),"",($G38-$F38+IF($G38&lt;$F38,1,0))*24)</f>
        <v/>
      </c>
      <c r="I38" s="27"/>
      <c r="J38" s="28"/>
      <c r="K38" s="29" t="str">
        <f aca="false">IF($J38="","",$J38*Config!$B$5)</f>
        <v/>
      </c>
      <c r="L38" s="28"/>
      <c r="M38" s="27"/>
      <c r="N38" s="28"/>
      <c r="O38" s="29" t="str">
        <f aca="false">IF($M38="","",$M38*Config!$B$6)</f>
        <v/>
      </c>
      <c r="P38" s="28"/>
      <c r="Q38" s="28"/>
      <c r="R38" s="30" t="str">
        <f aca="false">IF($J38="","",$J38-$K38+SUM($L38)-SUM($N38:$Q38))</f>
        <v/>
      </c>
      <c r="S38" s="30" t="str">
        <f aca="false">IF(OR($R38="",$H38="",$H38=0),"",$R38/$H38)</f>
        <v/>
      </c>
      <c r="T38" s="29" t="str">
        <f aca="false">IF(OR($R38="",$M38="",$M38=0),"",$R38/$M38)</f>
        <v/>
      </c>
      <c r="U38" s="26" t="str">
        <f aca="false">IF(OR($H38="",$H38=0,$I38=""),"",$I38/$H38)</f>
        <v/>
      </c>
      <c r="V38" s="24"/>
    </row>
    <row r="39" customFormat="false" ht="15" hidden="false" customHeight="false" outlineLevel="0" collapsed="false">
      <c r="A39" s="21"/>
      <c r="B39" s="22" t="str">
        <f aca="false">IF($A39="","",INDEX(Config!$F$2:$F$8,WEEKDAY($A39,2)))</f>
        <v/>
      </c>
      <c r="C39" s="23" t="str">
        <f aca="false">IF($A39="","",EOMONTH($A39,0))</f>
        <v/>
      </c>
      <c r="D39" s="24"/>
      <c r="E39" s="24"/>
      <c r="F39" s="25"/>
      <c r="G39" s="25"/>
      <c r="H39" s="26" t="str">
        <f aca="false">IF(OR($F39="",$G39=""),"",($G39-$F39+IF($G39&lt;$F39,1,0))*24)</f>
        <v/>
      </c>
      <c r="I39" s="27"/>
      <c r="J39" s="28"/>
      <c r="K39" s="29" t="str">
        <f aca="false">IF($J39="","",$J39*Config!$B$5)</f>
        <v/>
      </c>
      <c r="L39" s="28"/>
      <c r="M39" s="27"/>
      <c r="N39" s="28"/>
      <c r="O39" s="29" t="str">
        <f aca="false">IF($M39="","",$M39*Config!$B$6)</f>
        <v/>
      </c>
      <c r="P39" s="28"/>
      <c r="Q39" s="28"/>
      <c r="R39" s="30" t="str">
        <f aca="false">IF($J39="","",$J39-$K39+SUM($L39)-SUM($N39:$Q39))</f>
        <v/>
      </c>
      <c r="S39" s="30" t="str">
        <f aca="false">IF(OR($R39="",$H39="",$H39=0),"",$R39/$H39)</f>
        <v/>
      </c>
      <c r="T39" s="29" t="str">
        <f aca="false">IF(OR($R39="",$M39="",$M39=0),"",$R39/$M39)</f>
        <v/>
      </c>
      <c r="U39" s="26" t="str">
        <f aca="false">IF(OR($H39="",$H39=0,$I39=""),"",$I39/$H39)</f>
        <v/>
      </c>
      <c r="V39" s="24"/>
    </row>
    <row r="40" customFormat="false" ht="15" hidden="false" customHeight="false" outlineLevel="0" collapsed="false">
      <c r="A40" s="21"/>
      <c r="B40" s="22" t="str">
        <f aca="false">IF($A40="","",INDEX(Config!$F$2:$F$8,WEEKDAY($A40,2)))</f>
        <v/>
      </c>
      <c r="C40" s="23" t="str">
        <f aca="false">IF($A40="","",EOMONTH($A40,0))</f>
        <v/>
      </c>
      <c r="D40" s="24"/>
      <c r="E40" s="24"/>
      <c r="F40" s="25"/>
      <c r="G40" s="25"/>
      <c r="H40" s="26" t="str">
        <f aca="false">IF(OR($F40="",$G40=""),"",($G40-$F40+IF($G40&lt;$F40,1,0))*24)</f>
        <v/>
      </c>
      <c r="I40" s="27"/>
      <c r="J40" s="28"/>
      <c r="K40" s="29" t="str">
        <f aca="false">IF($J40="","",$J40*Config!$B$5)</f>
        <v/>
      </c>
      <c r="L40" s="28"/>
      <c r="M40" s="27"/>
      <c r="N40" s="28"/>
      <c r="O40" s="29" t="str">
        <f aca="false">IF($M40="","",$M40*Config!$B$6)</f>
        <v/>
      </c>
      <c r="P40" s="28"/>
      <c r="Q40" s="28"/>
      <c r="R40" s="30" t="str">
        <f aca="false">IF($J40="","",$J40-$K40+SUM($L40)-SUM($N40:$Q40))</f>
        <v/>
      </c>
      <c r="S40" s="30" t="str">
        <f aca="false">IF(OR($R40="",$H40="",$H40=0),"",$R40/$H40)</f>
        <v/>
      </c>
      <c r="T40" s="29" t="str">
        <f aca="false">IF(OR($R40="",$M40="",$M40=0),"",$R40/$M40)</f>
        <v/>
      </c>
      <c r="U40" s="26" t="str">
        <f aca="false">IF(OR($H40="",$H40=0,$I40=""),"",$I40/$H40)</f>
        <v/>
      </c>
      <c r="V40" s="24"/>
    </row>
    <row r="41" customFormat="false" ht="15" hidden="false" customHeight="false" outlineLevel="0" collapsed="false">
      <c r="A41" s="21"/>
      <c r="B41" s="22" t="str">
        <f aca="false">IF($A41="","",INDEX(Config!$F$2:$F$8,WEEKDAY($A41,2)))</f>
        <v/>
      </c>
      <c r="C41" s="23" t="str">
        <f aca="false">IF($A41="","",EOMONTH($A41,0))</f>
        <v/>
      </c>
      <c r="D41" s="24"/>
      <c r="E41" s="24"/>
      <c r="F41" s="25"/>
      <c r="G41" s="25"/>
      <c r="H41" s="26" t="str">
        <f aca="false">IF(OR($F41="",$G41=""),"",($G41-$F41+IF($G41&lt;$F41,1,0))*24)</f>
        <v/>
      </c>
      <c r="I41" s="27"/>
      <c r="J41" s="28"/>
      <c r="K41" s="29" t="str">
        <f aca="false">IF($J41="","",$J41*Config!$B$5)</f>
        <v/>
      </c>
      <c r="L41" s="28"/>
      <c r="M41" s="27"/>
      <c r="N41" s="28"/>
      <c r="O41" s="29" t="str">
        <f aca="false">IF($M41="","",$M41*Config!$B$6)</f>
        <v/>
      </c>
      <c r="P41" s="28"/>
      <c r="Q41" s="28"/>
      <c r="R41" s="30" t="str">
        <f aca="false">IF($J41="","",$J41-$K41+SUM($L41)-SUM($N41:$Q41))</f>
        <v/>
      </c>
      <c r="S41" s="30" t="str">
        <f aca="false">IF(OR($R41="",$H41="",$H41=0),"",$R41/$H41)</f>
        <v/>
      </c>
      <c r="T41" s="29" t="str">
        <f aca="false">IF(OR($R41="",$M41="",$M41=0),"",$R41/$M41)</f>
        <v/>
      </c>
      <c r="U41" s="26" t="str">
        <f aca="false">IF(OR($H41="",$H41=0,$I41=""),"",$I41/$H41)</f>
        <v/>
      </c>
      <c r="V41" s="24"/>
    </row>
    <row r="42" customFormat="false" ht="15" hidden="false" customHeight="false" outlineLevel="0" collapsed="false">
      <c r="A42" s="21"/>
      <c r="B42" s="22" t="str">
        <f aca="false">IF($A42="","",INDEX(Config!$F$2:$F$8,WEEKDAY($A42,2)))</f>
        <v/>
      </c>
      <c r="C42" s="23" t="str">
        <f aca="false">IF($A42="","",EOMONTH($A42,0))</f>
        <v/>
      </c>
      <c r="D42" s="24"/>
      <c r="E42" s="24"/>
      <c r="F42" s="25"/>
      <c r="G42" s="25"/>
      <c r="H42" s="26" t="str">
        <f aca="false">IF(OR($F42="",$G42=""),"",($G42-$F42+IF($G42&lt;$F42,1,0))*24)</f>
        <v/>
      </c>
      <c r="I42" s="27"/>
      <c r="J42" s="28"/>
      <c r="K42" s="29" t="str">
        <f aca="false">IF($J42="","",$J42*Config!$B$5)</f>
        <v/>
      </c>
      <c r="L42" s="28"/>
      <c r="M42" s="27"/>
      <c r="N42" s="28"/>
      <c r="O42" s="29" t="str">
        <f aca="false">IF($M42="","",$M42*Config!$B$6)</f>
        <v/>
      </c>
      <c r="P42" s="28"/>
      <c r="Q42" s="28"/>
      <c r="R42" s="30" t="str">
        <f aca="false">IF($J42="","",$J42-$K42+SUM($L42)-SUM($N42:$Q42))</f>
        <v/>
      </c>
      <c r="S42" s="30" t="str">
        <f aca="false">IF(OR($R42="",$H42="",$H42=0),"",$R42/$H42)</f>
        <v/>
      </c>
      <c r="T42" s="29" t="str">
        <f aca="false">IF(OR($R42="",$M42="",$M42=0),"",$R42/$M42)</f>
        <v/>
      </c>
      <c r="U42" s="26" t="str">
        <f aca="false">IF(OR($H42="",$H42=0,$I42=""),"",$I42/$H42)</f>
        <v/>
      </c>
      <c r="V42" s="24"/>
    </row>
    <row r="43" customFormat="false" ht="15" hidden="false" customHeight="false" outlineLevel="0" collapsed="false">
      <c r="A43" s="21"/>
      <c r="B43" s="22" t="str">
        <f aca="false">IF($A43="","",INDEX(Config!$F$2:$F$8,WEEKDAY($A43,2)))</f>
        <v/>
      </c>
      <c r="C43" s="23" t="str">
        <f aca="false">IF($A43="","",EOMONTH($A43,0))</f>
        <v/>
      </c>
      <c r="D43" s="24"/>
      <c r="E43" s="24"/>
      <c r="F43" s="25"/>
      <c r="G43" s="25"/>
      <c r="H43" s="26" t="str">
        <f aca="false">IF(OR($F43="",$G43=""),"",($G43-$F43+IF($G43&lt;$F43,1,0))*24)</f>
        <v/>
      </c>
      <c r="I43" s="27"/>
      <c r="J43" s="28"/>
      <c r="K43" s="29" t="str">
        <f aca="false">IF($J43="","",$J43*Config!$B$5)</f>
        <v/>
      </c>
      <c r="L43" s="28"/>
      <c r="M43" s="27"/>
      <c r="N43" s="28"/>
      <c r="O43" s="29" t="str">
        <f aca="false">IF($M43="","",$M43*Config!$B$6)</f>
        <v/>
      </c>
      <c r="P43" s="28"/>
      <c r="Q43" s="28"/>
      <c r="R43" s="30" t="str">
        <f aca="false">IF($J43="","",$J43-$K43+SUM($L43)-SUM($N43:$Q43))</f>
        <v/>
      </c>
      <c r="S43" s="30" t="str">
        <f aca="false">IF(OR($R43="",$H43="",$H43=0),"",$R43/$H43)</f>
        <v/>
      </c>
      <c r="T43" s="29" t="str">
        <f aca="false">IF(OR($R43="",$M43="",$M43=0),"",$R43/$M43)</f>
        <v/>
      </c>
      <c r="U43" s="26" t="str">
        <f aca="false">IF(OR($H43="",$H43=0,$I43=""),"",$I43/$H43)</f>
        <v/>
      </c>
      <c r="V43" s="24"/>
    </row>
    <row r="44" customFormat="false" ht="15" hidden="false" customHeight="false" outlineLevel="0" collapsed="false">
      <c r="A44" s="21"/>
      <c r="B44" s="22" t="str">
        <f aca="false">IF($A44="","",INDEX(Config!$F$2:$F$8,WEEKDAY($A44,2)))</f>
        <v/>
      </c>
      <c r="C44" s="23" t="str">
        <f aca="false">IF($A44="","",EOMONTH($A44,0))</f>
        <v/>
      </c>
      <c r="D44" s="24"/>
      <c r="E44" s="24"/>
      <c r="F44" s="25"/>
      <c r="G44" s="25"/>
      <c r="H44" s="26" t="str">
        <f aca="false">IF(OR($F44="",$G44=""),"",($G44-$F44+IF($G44&lt;$F44,1,0))*24)</f>
        <v/>
      </c>
      <c r="I44" s="27"/>
      <c r="J44" s="28"/>
      <c r="K44" s="29" t="str">
        <f aca="false">IF($J44="","",$J44*Config!$B$5)</f>
        <v/>
      </c>
      <c r="L44" s="28"/>
      <c r="M44" s="27"/>
      <c r="N44" s="28"/>
      <c r="O44" s="29" t="str">
        <f aca="false">IF($M44="","",$M44*Config!$B$6)</f>
        <v/>
      </c>
      <c r="P44" s="28"/>
      <c r="Q44" s="28"/>
      <c r="R44" s="30" t="str">
        <f aca="false">IF($J44="","",$J44-$K44+SUM($L44)-SUM($N44:$Q44))</f>
        <v/>
      </c>
      <c r="S44" s="30" t="str">
        <f aca="false">IF(OR($R44="",$H44="",$H44=0),"",$R44/$H44)</f>
        <v/>
      </c>
      <c r="T44" s="29" t="str">
        <f aca="false">IF(OR($R44="",$M44="",$M44=0),"",$R44/$M44)</f>
        <v/>
      </c>
      <c r="U44" s="26" t="str">
        <f aca="false">IF(OR($H44="",$H44=0,$I44=""),"",$I44/$H44)</f>
        <v/>
      </c>
      <c r="V44" s="24"/>
    </row>
    <row r="45" customFormat="false" ht="15" hidden="false" customHeight="false" outlineLevel="0" collapsed="false">
      <c r="A45" s="21"/>
      <c r="B45" s="22" t="str">
        <f aca="false">IF($A45="","",INDEX(Config!$F$2:$F$8,WEEKDAY($A45,2)))</f>
        <v/>
      </c>
      <c r="C45" s="23" t="str">
        <f aca="false">IF($A45="","",EOMONTH($A45,0))</f>
        <v/>
      </c>
      <c r="D45" s="24"/>
      <c r="E45" s="24"/>
      <c r="F45" s="25"/>
      <c r="G45" s="25"/>
      <c r="H45" s="26" t="str">
        <f aca="false">IF(OR($F45="",$G45=""),"",($G45-$F45+IF($G45&lt;$F45,1,0))*24)</f>
        <v/>
      </c>
      <c r="I45" s="27"/>
      <c r="J45" s="28"/>
      <c r="K45" s="29" t="str">
        <f aca="false">IF($J45="","",$J45*Config!$B$5)</f>
        <v/>
      </c>
      <c r="L45" s="28"/>
      <c r="M45" s="27"/>
      <c r="N45" s="28"/>
      <c r="O45" s="29" t="str">
        <f aca="false">IF($M45="","",$M45*Config!$B$6)</f>
        <v/>
      </c>
      <c r="P45" s="28"/>
      <c r="Q45" s="28"/>
      <c r="R45" s="30" t="str">
        <f aca="false">IF($J45="","",$J45-$K45+SUM($L45)-SUM($N45:$Q45))</f>
        <v/>
      </c>
      <c r="S45" s="30" t="str">
        <f aca="false">IF(OR($R45="",$H45="",$H45=0),"",$R45/$H45)</f>
        <v/>
      </c>
      <c r="T45" s="29" t="str">
        <f aca="false">IF(OR($R45="",$M45="",$M45=0),"",$R45/$M45)</f>
        <v/>
      </c>
      <c r="U45" s="26" t="str">
        <f aca="false">IF(OR($H45="",$H45=0,$I45=""),"",$I45/$H45)</f>
        <v/>
      </c>
      <c r="V45" s="24"/>
    </row>
    <row r="46" customFormat="false" ht="15" hidden="false" customHeight="false" outlineLevel="0" collapsed="false">
      <c r="A46" s="21"/>
      <c r="B46" s="22" t="str">
        <f aca="false">IF($A46="","",INDEX(Config!$F$2:$F$8,WEEKDAY($A46,2)))</f>
        <v/>
      </c>
      <c r="C46" s="23" t="str">
        <f aca="false">IF($A46="","",EOMONTH($A46,0))</f>
        <v/>
      </c>
      <c r="D46" s="24"/>
      <c r="E46" s="24"/>
      <c r="F46" s="25"/>
      <c r="G46" s="25"/>
      <c r="H46" s="26" t="str">
        <f aca="false">IF(OR($F46="",$G46=""),"",($G46-$F46+IF($G46&lt;$F46,1,0))*24)</f>
        <v/>
      </c>
      <c r="I46" s="27"/>
      <c r="J46" s="28"/>
      <c r="K46" s="29" t="str">
        <f aca="false">IF($J46="","",$J46*Config!$B$5)</f>
        <v/>
      </c>
      <c r="L46" s="28"/>
      <c r="M46" s="27"/>
      <c r="N46" s="28"/>
      <c r="O46" s="29" t="str">
        <f aca="false">IF($M46="","",$M46*Config!$B$6)</f>
        <v/>
      </c>
      <c r="P46" s="28"/>
      <c r="Q46" s="28"/>
      <c r="R46" s="30" t="str">
        <f aca="false">IF($J46="","",$J46-$K46+SUM($L46)-SUM($N46:$Q46))</f>
        <v/>
      </c>
      <c r="S46" s="30" t="str">
        <f aca="false">IF(OR($R46="",$H46="",$H46=0),"",$R46/$H46)</f>
        <v/>
      </c>
      <c r="T46" s="29" t="str">
        <f aca="false">IF(OR($R46="",$M46="",$M46=0),"",$R46/$M46)</f>
        <v/>
      </c>
      <c r="U46" s="26" t="str">
        <f aca="false">IF(OR($H46="",$H46=0,$I46=""),"",$I46/$H46)</f>
        <v/>
      </c>
      <c r="V46" s="24"/>
    </row>
    <row r="47" customFormat="false" ht="15" hidden="false" customHeight="false" outlineLevel="0" collapsed="false">
      <c r="A47" s="21"/>
      <c r="B47" s="22" t="str">
        <f aca="false">IF($A47="","",INDEX(Config!$F$2:$F$8,WEEKDAY($A47,2)))</f>
        <v/>
      </c>
      <c r="C47" s="23" t="str">
        <f aca="false">IF($A47="","",EOMONTH($A47,0))</f>
        <v/>
      </c>
      <c r="D47" s="24"/>
      <c r="E47" s="24"/>
      <c r="F47" s="25"/>
      <c r="G47" s="25"/>
      <c r="H47" s="26" t="str">
        <f aca="false">IF(OR($F47="",$G47=""),"",($G47-$F47+IF($G47&lt;$F47,1,0))*24)</f>
        <v/>
      </c>
      <c r="I47" s="27"/>
      <c r="J47" s="28"/>
      <c r="K47" s="29" t="str">
        <f aca="false">IF($J47="","",$J47*Config!$B$5)</f>
        <v/>
      </c>
      <c r="L47" s="28"/>
      <c r="M47" s="27"/>
      <c r="N47" s="28"/>
      <c r="O47" s="29" t="str">
        <f aca="false">IF($M47="","",$M47*Config!$B$6)</f>
        <v/>
      </c>
      <c r="P47" s="28"/>
      <c r="Q47" s="28"/>
      <c r="R47" s="30" t="str">
        <f aca="false">IF($J47="","",$J47-$K47+SUM($L47)-SUM($N47:$Q47))</f>
        <v/>
      </c>
      <c r="S47" s="30" t="str">
        <f aca="false">IF(OR($R47="",$H47="",$H47=0),"",$R47/$H47)</f>
        <v/>
      </c>
      <c r="T47" s="29" t="str">
        <f aca="false">IF(OR($R47="",$M47="",$M47=0),"",$R47/$M47)</f>
        <v/>
      </c>
      <c r="U47" s="26" t="str">
        <f aca="false">IF(OR($H47="",$H47=0,$I47=""),"",$I47/$H47)</f>
        <v/>
      </c>
      <c r="V47" s="24"/>
    </row>
    <row r="48" customFormat="false" ht="15" hidden="false" customHeight="false" outlineLevel="0" collapsed="false">
      <c r="A48" s="21"/>
      <c r="B48" s="22" t="str">
        <f aca="false">IF($A48="","",INDEX(Config!$F$2:$F$8,WEEKDAY($A48,2)))</f>
        <v/>
      </c>
      <c r="C48" s="23" t="str">
        <f aca="false">IF($A48="","",EOMONTH($A48,0))</f>
        <v/>
      </c>
      <c r="D48" s="24"/>
      <c r="E48" s="24"/>
      <c r="F48" s="25"/>
      <c r="G48" s="25"/>
      <c r="H48" s="26" t="str">
        <f aca="false">IF(OR($F48="",$G48=""),"",($G48-$F48+IF($G48&lt;$F48,1,0))*24)</f>
        <v/>
      </c>
      <c r="I48" s="27"/>
      <c r="J48" s="28"/>
      <c r="K48" s="29" t="str">
        <f aca="false">IF($J48="","",$J48*Config!$B$5)</f>
        <v/>
      </c>
      <c r="L48" s="28"/>
      <c r="M48" s="27"/>
      <c r="N48" s="28"/>
      <c r="O48" s="29" t="str">
        <f aca="false">IF($M48="","",$M48*Config!$B$6)</f>
        <v/>
      </c>
      <c r="P48" s="28"/>
      <c r="Q48" s="28"/>
      <c r="R48" s="30" t="str">
        <f aca="false">IF($J48="","",$J48-$K48+SUM($L48)-SUM($N48:$Q48))</f>
        <v/>
      </c>
      <c r="S48" s="30" t="str">
        <f aca="false">IF(OR($R48="",$H48="",$H48=0),"",$R48/$H48)</f>
        <v/>
      </c>
      <c r="T48" s="29" t="str">
        <f aca="false">IF(OR($R48="",$M48="",$M48=0),"",$R48/$M48)</f>
        <v/>
      </c>
      <c r="U48" s="26" t="str">
        <f aca="false">IF(OR($H48="",$H48=0,$I48=""),"",$I48/$H48)</f>
        <v/>
      </c>
      <c r="V48" s="24"/>
    </row>
    <row r="49" customFormat="false" ht="15" hidden="false" customHeight="false" outlineLevel="0" collapsed="false">
      <c r="A49" s="21"/>
      <c r="B49" s="22" t="str">
        <f aca="false">IF($A49="","",INDEX(Config!$F$2:$F$8,WEEKDAY($A49,2)))</f>
        <v/>
      </c>
      <c r="C49" s="23" t="str">
        <f aca="false">IF($A49="","",EOMONTH($A49,0))</f>
        <v/>
      </c>
      <c r="D49" s="24"/>
      <c r="E49" s="24"/>
      <c r="F49" s="25"/>
      <c r="G49" s="25"/>
      <c r="H49" s="26" t="str">
        <f aca="false">IF(OR($F49="",$G49=""),"",($G49-$F49+IF($G49&lt;$F49,1,0))*24)</f>
        <v/>
      </c>
      <c r="I49" s="27"/>
      <c r="J49" s="28"/>
      <c r="K49" s="29" t="str">
        <f aca="false">IF($J49="","",$J49*Config!$B$5)</f>
        <v/>
      </c>
      <c r="L49" s="28"/>
      <c r="M49" s="27"/>
      <c r="N49" s="28"/>
      <c r="O49" s="29" t="str">
        <f aca="false">IF($M49="","",$M49*Config!$B$6)</f>
        <v/>
      </c>
      <c r="P49" s="28"/>
      <c r="Q49" s="28"/>
      <c r="R49" s="30" t="str">
        <f aca="false">IF($J49="","",$J49-$K49+SUM($L49)-SUM($N49:$Q49))</f>
        <v/>
      </c>
      <c r="S49" s="30" t="str">
        <f aca="false">IF(OR($R49="",$H49="",$H49=0),"",$R49/$H49)</f>
        <v/>
      </c>
      <c r="T49" s="29" t="str">
        <f aca="false">IF(OR($R49="",$M49="",$M49=0),"",$R49/$M49)</f>
        <v/>
      </c>
      <c r="U49" s="26" t="str">
        <f aca="false">IF(OR($H49="",$H49=0,$I49=""),"",$I49/$H49)</f>
        <v/>
      </c>
      <c r="V49" s="24"/>
    </row>
    <row r="50" customFormat="false" ht="15" hidden="false" customHeight="false" outlineLevel="0" collapsed="false">
      <c r="A50" s="21"/>
      <c r="B50" s="22" t="str">
        <f aca="false">IF($A50="","",INDEX(Config!$F$2:$F$8,WEEKDAY($A50,2)))</f>
        <v/>
      </c>
      <c r="C50" s="23" t="str">
        <f aca="false">IF($A50="","",EOMONTH($A50,0))</f>
        <v/>
      </c>
      <c r="D50" s="24"/>
      <c r="E50" s="24"/>
      <c r="F50" s="25"/>
      <c r="G50" s="25"/>
      <c r="H50" s="26" t="str">
        <f aca="false">IF(OR($F50="",$G50=""),"",($G50-$F50+IF($G50&lt;$F50,1,0))*24)</f>
        <v/>
      </c>
      <c r="I50" s="27"/>
      <c r="J50" s="28"/>
      <c r="K50" s="29" t="str">
        <f aca="false">IF($J50="","",$J50*Config!$B$5)</f>
        <v/>
      </c>
      <c r="L50" s="28"/>
      <c r="M50" s="27"/>
      <c r="N50" s="28"/>
      <c r="O50" s="29" t="str">
        <f aca="false">IF($M50="","",$M50*Config!$B$6)</f>
        <v/>
      </c>
      <c r="P50" s="28"/>
      <c r="Q50" s="28"/>
      <c r="R50" s="30" t="str">
        <f aca="false">IF($J50="","",$J50-$K50+SUM($L50)-SUM($N50:$Q50))</f>
        <v/>
      </c>
      <c r="S50" s="30" t="str">
        <f aca="false">IF(OR($R50="",$H50="",$H50=0),"",$R50/$H50)</f>
        <v/>
      </c>
      <c r="T50" s="29" t="str">
        <f aca="false">IF(OR($R50="",$M50="",$M50=0),"",$R50/$M50)</f>
        <v/>
      </c>
      <c r="U50" s="26" t="str">
        <f aca="false">IF(OR($H50="",$H50=0,$I50=""),"",$I50/$H50)</f>
        <v/>
      </c>
      <c r="V50" s="24"/>
    </row>
    <row r="51" customFormat="false" ht="15" hidden="false" customHeight="false" outlineLevel="0" collapsed="false">
      <c r="A51" s="21"/>
      <c r="B51" s="22" t="str">
        <f aca="false">IF($A51="","",INDEX(Config!$F$2:$F$8,WEEKDAY($A51,2)))</f>
        <v/>
      </c>
      <c r="C51" s="23" t="str">
        <f aca="false">IF($A51="","",EOMONTH($A51,0))</f>
        <v/>
      </c>
      <c r="D51" s="24"/>
      <c r="E51" s="24"/>
      <c r="F51" s="25"/>
      <c r="G51" s="25"/>
      <c r="H51" s="26" t="str">
        <f aca="false">IF(OR($F51="",$G51=""),"",($G51-$F51+IF($G51&lt;$F51,1,0))*24)</f>
        <v/>
      </c>
      <c r="I51" s="27"/>
      <c r="J51" s="28"/>
      <c r="K51" s="29" t="str">
        <f aca="false">IF($J51="","",$J51*Config!$B$5)</f>
        <v/>
      </c>
      <c r="L51" s="28"/>
      <c r="M51" s="27"/>
      <c r="N51" s="28"/>
      <c r="O51" s="29" t="str">
        <f aca="false">IF($M51="","",$M51*Config!$B$6)</f>
        <v/>
      </c>
      <c r="P51" s="28"/>
      <c r="Q51" s="28"/>
      <c r="R51" s="30" t="str">
        <f aca="false">IF($J51="","",$J51-$K51+SUM($L51)-SUM($N51:$Q51))</f>
        <v/>
      </c>
      <c r="S51" s="30" t="str">
        <f aca="false">IF(OR($R51="",$H51="",$H51=0),"",$R51/$H51)</f>
        <v/>
      </c>
      <c r="T51" s="29" t="str">
        <f aca="false">IF(OR($R51="",$M51="",$M51=0),"",$R51/$M51)</f>
        <v/>
      </c>
      <c r="U51" s="26" t="str">
        <f aca="false">IF(OR($H51="",$H51=0,$I51=""),"",$I51/$H51)</f>
        <v/>
      </c>
      <c r="V51" s="24"/>
    </row>
    <row r="52" customFormat="false" ht="15" hidden="false" customHeight="false" outlineLevel="0" collapsed="false">
      <c r="A52" s="21"/>
      <c r="B52" s="22" t="str">
        <f aca="false">IF($A52="","",INDEX(Config!$F$2:$F$8,WEEKDAY($A52,2)))</f>
        <v/>
      </c>
      <c r="C52" s="23" t="str">
        <f aca="false">IF($A52="","",EOMONTH($A52,0))</f>
        <v/>
      </c>
      <c r="D52" s="24"/>
      <c r="E52" s="24"/>
      <c r="F52" s="25"/>
      <c r="G52" s="25"/>
      <c r="H52" s="26" t="str">
        <f aca="false">IF(OR($F52="",$G52=""),"",($G52-$F52+IF($G52&lt;$F52,1,0))*24)</f>
        <v/>
      </c>
      <c r="I52" s="27"/>
      <c r="J52" s="28"/>
      <c r="K52" s="29" t="str">
        <f aca="false">IF($J52="","",$J52*Config!$B$5)</f>
        <v/>
      </c>
      <c r="L52" s="28"/>
      <c r="M52" s="27"/>
      <c r="N52" s="28"/>
      <c r="O52" s="29" t="str">
        <f aca="false">IF($M52="","",$M52*Config!$B$6)</f>
        <v/>
      </c>
      <c r="P52" s="28"/>
      <c r="Q52" s="28"/>
      <c r="R52" s="30" t="str">
        <f aca="false">IF($J52="","",$J52-$K52+SUM($L52)-SUM($N52:$Q52))</f>
        <v/>
      </c>
      <c r="S52" s="30" t="str">
        <f aca="false">IF(OR($R52="",$H52="",$H52=0),"",$R52/$H52)</f>
        <v/>
      </c>
      <c r="T52" s="29" t="str">
        <f aca="false">IF(OR($R52="",$M52="",$M52=0),"",$R52/$M52)</f>
        <v/>
      </c>
      <c r="U52" s="26" t="str">
        <f aca="false">IF(OR($H52="",$H52=0,$I52=""),"",$I52/$H52)</f>
        <v/>
      </c>
      <c r="V52" s="24"/>
    </row>
    <row r="53" customFormat="false" ht="15" hidden="false" customHeight="false" outlineLevel="0" collapsed="false">
      <c r="A53" s="21"/>
      <c r="B53" s="22" t="str">
        <f aca="false">IF($A53="","",INDEX(Config!$F$2:$F$8,WEEKDAY($A53,2)))</f>
        <v/>
      </c>
      <c r="C53" s="23" t="str">
        <f aca="false">IF($A53="","",EOMONTH($A53,0))</f>
        <v/>
      </c>
      <c r="D53" s="24"/>
      <c r="E53" s="24"/>
      <c r="F53" s="25"/>
      <c r="G53" s="25"/>
      <c r="H53" s="26" t="str">
        <f aca="false">IF(OR($F53="",$G53=""),"",($G53-$F53+IF($G53&lt;$F53,1,0))*24)</f>
        <v/>
      </c>
      <c r="I53" s="27"/>
      <c r="J53" s="28"/>
      <c r="K53" s="29" t="str">
        <f aca="false">IF($J53="","",$J53*Config!$B$5)</f>
        <v/>
      </c>
      <c r="L53" s="28"/>
      <c r="M53" s="27"/>
      <c r="N53" s="28"/>
      <c r="O53" s="29" t="str">
        <f aca="false">IF($M53="","",$M53*Config!$B$6)</f>
        <v/>
      </c>
      <c r="P53" s="28"/>
      <c r="Q53" s="28"/>
      <c r="R53" s="30" t="str">
        <f aca="false">IF($J53="","",$J53-$K53+SUM($L53)-SUM($N53:$Q53))</f>
        <v/>
      </c>
      <c r="S53" s="30" t="str">
        <f aca="false">IF(OR($R53="",$H53="",$H53=0),"",$R53/$H53)</f>
        <v/>
      </c>
      <c r="T53" s="29" t="str">
        <f aca="false">IF(OR($R53="",$M53="",$M53=0),"",$R53/$M53)</f>
        <v/>
      </c>
      <c r="U53" s="26" t="str">
        <f aca="false">IF(OR($H53="",$H53=0,$I53=""),"",$I53/$H53)</f>
        <v/>
      </c>
      <c r="V53" s="24"/>
    </row>
    <row r="54" customFormat="false" ht="15" hidden="false" customHeight="false" outlineLevel="0" collapsed="false">
      <c r="A54" s="21"/>
      <c r="B54" s="22" t="str">
        <f aca="false">IF($A54="","",INDEX(Config!$F$2:$F$8,WEEKDAY($A54,2)))</f>
        <v/>
      </c>
      <c r="C54" s="23" t="str">
        <f aca="false">IF($A54="","",EOMONTH($A54,0))</f>
        <v/>
      </c>
      <c r="D54" s="24"/>
      <c r="E54" s="24"/>
      <c r="F54" s="25"/>
      <c r="G54" s="25"/>
      <c r="H54" s="26" t="str">
        <f aca="false">IF(OR($F54="",$G54=""),"",($G54-$F54+IF($G54&lt;$F54,1,0))*24)</f>
        <v/>
      </c>
      <c r="I54" s="27"/>
      <c r="J54" s="28"/>
      <c r="K54" s="29" t="str">
        <f aca="false">IF($J54="","",$J54*Config!$B$5)</f>
        <v/>
      </c>
      <c r="L54" s="28"/>
      <c r="M54" s="27"/>
      <c r="N54" s="28"/>
      <c r="O54" s="29" t="str">
        <f aca="false">IF($M54="","",$M54*Config!$B$6)</f>
        <v/>
      </c>
      <c r="P54" s="28"/>
      <c r="Q54" s="28"/>
      <c r="R54" s="30" t="str">
        <f aca="false">IF($J54="","",$J54-$K54+SUM($L54)-SUM($N54:$Q54))</f>
        <v/>
      </c>
      <c r="S54" s="30" t="str">
        <f aca="false">IF(OR($R54="",$H54="",$H54=0),"",$R54/$H54)</f>
        <v/>
      </c>
      <c r="T54" s="29" t="str">
        <f aca="false">IF(OR($R54="",$M54="",$M54=0),"",$R54/$M54)</f>
        <v/>
      </c>
      <c r="U54" s="26" t="str">
        <f aca="false">IF(OR($H54="",$H54=0,$I54=""),"",$I54/$H54)</f>
        <v/>
      </c>
      <c r="V54" s="24"/>
    </row>
    <row r="55" customFormat="false" ht="15" hidden="false" customHeight="false" outlineLevel="0" collapsed="false">
      <c r="A55" s="21"/>
      <c r="B55" s="22" t="str">
        <f aca="false">IF($A55="","",INDEX(Config!$F$2:$F$8,WEEKDAY($A55,2)))</f>
        <v/>
      </c>
      <c r="C55" s="23" t="str">
        <f aca="false">IF($A55="","",EOMONTH($A55,0))</f>
        <v/>
      </c>
      <c r="D55" s="24"/>
      <c r="E55" s="24"/>
      <c r="F55" s="25"/>
      <c r="G55" s="25"/>
      <c r="H55" s="26" t="str">
        <f aca="false">IF(OR($F55="",$G55=""),"",($G55-$F55+IF($G55&lt;$F55,1,0))*24)</f>
        <v/>
      </c>
      <c r="I55" s="27"/>
      <c r="J55" s="28"/>
      <c r="K55" s="29" t="str">
        <f aca="false">IF($J55="","",$J55*Config!$B$5)</f>
        <v/>
      </c>
      <c r="L55" s="28"/>
      <c r="M55" s="27"/>
      <c r="N55" s="28"/>
      <c r="O55" s="29" t="str">
        <f aca="false">IF($M55="","",$M55*Config!$B$6)</f>
        <v/>
      </c>
      <c r="P55" s="28"/>
      <c r="Q55" s="28"/>
      <c r="R55" s="30" t="str">
        <f aca="false">IF($J55="","",$J55-$K55+SUM($L55)-SUM($N55:$Q55))</f>
        <v/>
      </c>
      <c r="S55" s="30" t="str">
        <f aca="false">IF(OR($R55="",$H55="",$H55=0),"",$R55/$H55)</f>
        <v/>
      </c>
      <c r="T55" s="29" t="str">
        <f aca="false">IF(OR($R55="",$M55="",$M55=0),"",$R55/$M55)</f>
        <v/>
      </c>
      <c r="U55" s="26" t="str">
        <f aca="false">IF(OR($H55="",$H55=0,$I55=""),"",$I55/$H55)</f>
        <v/>
      </c>
      <c r="V55" s="24"/>
    </row>
    <row r="56" customFormat="false" ht="15" hidden="false" customHeight="false" outlineLevel="0" collapsed="false">
      <c r="A56" s="21"/>
      <c r="B56" s="22" t="str">
        <f aca="false">IF($A56="","",INDEX(Config!$F$2:$F$8,WEEKDAY($A56,2)))</f>
        <v/>
      </c>
      <c r="C56" s="23" t="str">
        <f aca="false">IF($A56="","",EOMONTH($A56,0))</f>
        <v/>
      </c>
      <c r="D56" s="24"/>
      <c r="E56" s="24"/>
      <c r="F56" s="25"/>
      <c r="G56" s="25"/>
      <c r="H56" s="26" t="str">
        <f aca="false">IF(OR($F56="",$G56=""),"",($G56-$F56+IF($G56&lt;$F56,1,0))*24)</f>
        <v/>
      </c>
      <c r="I56" s="27"/>
      <c r="J56" s="28"/>
      <c r="K56" s="29" t="str">
        <f aca="false">IF($J56="","",$J56*Config!$B$5)</f>
        <v/>
      </c>
      <c r="L56" s="28"/>
      <c r="M56" s="27"/>
      <c r="N56" s="28"/>
      <c r="O56" s="29" t="str">
        <f aca="false">IF($M56="","",$M56*Config!$B$6)</f>
        <v/>
      </c>
      <c r="P56" s="28"/>
      <c r="Q56" s="28"/>
      <c r="R56" s="30" t="str">
        <f aca="false">IF($J56="","",$J56-$K56+SUM($L56)-SUM($N56:$Q56))</f>
        <v/>
      </c>
      <c r="S56" s="30" t="str">
        <f aca="false">IF(OR($R56="",$H56="",$H56=0),"",$R56/$H56)</f>
        <v/>
      </c>
      <c r="T56" s="29" t="str">
        <f aca="false">IF(OR($R56="",$M56="",$M56=0),"",$R56/$M56)</f>
        <v/>
      </c>
      <c r="U56" s="26" t="str">
        <f aca="false">IF(OR($H56="",$H56=0,$I56=""),"",$I56/$H56)</f>
        <v/>
      </c>
      <c r="V56" s="24"/>
    </row>
    <row r="57" customFormat="false" ht="15" hidden="false" customHeight="false" outlineLevel="0" collapsed="false">
      <c r="A57" s="21"/>
      <c r="B57" s="22" t="str">
        <f aca="false">IF($A57="","",INDEX(Config!$F$2:$F$8,WEEKDAY($A57,2)))</f>
        <v/>
      </c>
      <c r="C57" s="23" t="str">
        <f aca="false">IF($A57="","",EOMONTH($A57,0))</f>
        <v/>
      </c>
      <c r="D57" s="24"/>
      <c r="E57" s="24"/>
      <c r="F57" s="25"/>
      <c r="G57" s="25"/>
      <c r="H57" s="26" t="str">
        <f aca="false">IF(OR($F57="",$G57=""),"",($G57-$F57+IF($G57&lt;$F57,1,0))*24)</f>
        <v/>
      </c>
      <c r="I57" s="27"/>
      <c r="J57" s="28"/>
      <c r="K57" s="29" t="str">
        <f aca="false">IF($J57="","",$J57*Config!$B$5)</f>
        <v/>
      </c>
      <c r="L57" s="28"/>
      <c r="M57" s="27"/>
      <c r="N57" s="28"/>
      <c r="O57" s="29" t="str">
        <f aca="false">IF($M57="","",$M57*Config!$B$6)</f>
        <v/>
      </c>
      <c r="P57" s="28"/>
      <c r="Q57" s="28"/>
      <c r="R57" s="30" t="str">
        <f aca="false">IF($J57="","",$J57-$K57+SUM($L57)-SUM($N57:$Q57))</f>
        <v/>
      </c>
      <c r="S57" s="30" t="str">
        <f aca="false">IF(OR($R57="",$H57="",$H57=0),"",$R57/$H57)</f>
        <v/>
      </c>
      <c r="T57" s="29" t="str">
        <f aca="false">IF(OR($R57="",$M57="",$M57=0),"",$R57/$M57)</f>
        <v/>
      </c>
      <c r="U57" s="26" t="str">
        <f aca="false">IF(OR($H57="",$H57=0,$I57=""),"",$I57/$H57)</f>
        <v/>
      </c>
      <c r="V57" s="24"/>
    </row>
    <row r="58" customFormat="false" ht="15" hidden="false" customHeight="false" outlineLevel="0" collapsed="false">
      <c r="A58" s="21"/>
      <c r="B58" s="22" t="str">
        <f aca="false">IF($A58="","",INDEX(Config!$F$2:$F$8,WEEKDAY($A58,2)))</f>
        <v/>
      </c>
      <c r="C58" s="23" t="str">
        <f aca="false">IF($A58="","",EOMONTH($A58,0))</f>
        <v/>
      </c>
      <c r="D58" s="24"/>
      <c r="E58" s="24"/>
      <c r="F58" s="25"/>
      <c r="G58" s="25"/>
      <c r="H58" s="26" t="str">
        <f aca="false">IF(OR($F58="",$G58=""),"",($G58-$F58+IF($G58&lt;$F58,1,0))*24)</f>
        <v/>
      </c>
      <c r="I58" s="27"/>
      <c r="J58" s="28"/>
      <c r="K58" s="29" t="str">
        <f aca="false">IF($J58="","",$J58*Config!$B$5)</f>
        <v/>
      </c>
      <c r="L58" s="28"/>
      <c r="M58" s="27"/>
      <c r="N58" s="28"/>
      <c r="O58" s="29" t="str">
        <f aca="false">IF($M58="","",$M58*Config!$B$6)</f>
        <v/>
      </c>
      <c r="P58" s="28"/>
      <c r="Q58" s="28"/>
      <c r="R58" s="30" t="str">
        <f aca="false">IF($J58="","",$J58-$K58+SUM($L58)-SUM($N58:$Q58))</f>
        <v/>
      </c>
      <c r="S58" s="30" t="str">
        <f aca="false">IF(OR($R58="",$H58="",$H58=0),"",$R58/$H58)</f>
        <v/>
      </c>
      <c r="T58" s="29" t="str">
        <f aca="false">IF(OR($R58="",$M58="",$M58=0),"",$R58/$M58)</f>
        <v/>
      </c>
      <c r="U58" s="26" t="str">
        <f aca="false">IF(OR($H58="",$H58=0,$I58=""),"",$I58/$H58)</f>
        <v/>
      </c>
      <c r="V58" s="24"/>
    </row>
    <row r="59" customFormat="false" ht="15" hidden="false" customHeight="false" outlineLevel="0" collapsed="false">
      <c r="A59" s="21"/>
      <c r="B59" s="22" t="str">
        <f aca="false">IF($A59="","",INDEX(Config!$F$2:$F$8,WEEKDAY($A59,2)))</f>
        <v/>
      </c>
      <c r="C59" s="23" t="str">
        <f aca="false">IF($A59="","",EOMONTH($A59,0))</f>
        <v/>
      </c>
      <c r="D59" s="24"/>
      <c r="E59" s="24"/>
      <c r="F59" s="25"/>
      <c r="G59" s="25"/>
      <c r="H59" s="26" t="str">
        <f aca="false">IF(OR($F59="",$G59=""),"",($G59-$F59+IF($G59&lt;$F59,1,0))*24)</f>
        <v/>
      </c>
      <c r="I59" s="27"/>
      <c r="J59" s="28"/>
      <c r="K59" s="29" t="str">
        <f aca="false">IF($J59="","",$J59*Config!$B$5)</f>
        <v/>
      </c>
      <c r="L59" s="28"/>
      <c r="M59" s="27"/>
      <c r="N59" s="28"/>
      <c r="O59" s="29" t="str">
        <f aca="false">IF($M59="","",$M59*Config!$B$6)</f>
        <v/>
      </c>
      <c r="P59" s="28"/>
      <c r="Q59" s="28"/>
      <c r="R59" s="30" t="str">
        <f aca="false">IF($J59="","",$J59-$K59+SUM($L59)-SUM($N59:$Q59))</f>
        <v/>
      </c>
      <c r="S59" s="30" t="str">
        <f aca="false">IF(OR($R59="",$H59="",$H59=0),"",$R59/$H59)</f>
        <v/>
      </c>
      <c r="T59" s="29" t="str">
        <f aca="false">IF(OR($R59="",$M59="",$M59=0),"",$R59/$M59)</f>
        <v/>
      </c>
      <c r="U59" s="26" t="str">
        <f aca="false">IF(OR($H59="",$H59=0,$I59=""),"",$I59/$H59)</f>
        <v/>
      </c>
      <c r="V59" s="24"/>
    </row>
    <row r="60" customFormat="false" ht="15" hidden="false" customHeight="false" outlineLevel="0" collapsed="false">
      <c r="A60" s="21"/>
      <c r="B60" s="22" t="str">
        <f aca="false">IF($A60="","",INDEX(Config!$F$2:$F$8,WEEKDAY($A60,2)))</f>
        <v/>
      </c>
      <c r="C60" s="23" t="str">
        <f aca="false">IF($A60="","",EOMONTH($A60,0))</f>
        <v/>
      </c>
      <c r="D60" s="24"/>
      <c r="E60" s="24"/>
      <c r="F60" s="25"/>
      <c r="G60" s="25"/>
      <c r="H60" s="26" t="str">
        <f aca="false">IF(OR($F60="",$G60=""),"",($G60-$F60+IF($G60&lt;$F60,1,0))*24)</f>
        <v/>
      </c>
      <c r="I60" s="27"/>
      <c r="J60" s="28"/>
      <c r="K60" s="29" t="str">
        <f aca="false">IF($J60="","",$J60*Config!$B$5)</f>
        <v/>
      </c>
      <c r="L60" s="28"/>
      <c r="M60" s="27"/>
      <c r="N60" s="28"/>
      <c r="O60" s="29" t="str">
        <f aca="false">IF($M60="","",$M60*Config!$B$6)</f>
        <v/>
      </c>
      <c r="P60" s="28"/>
      <c r="Q60" s="28"/>
      <c r="R60" s="30" t="str">
        <f aca="false">IF($J60="","",$J60-$K60+SUM($L60)-SUM($N60:$Q60))</f>
        <v/>
      </c>
      <c r="S60" s="30" t="str">
        <f aca="false">IF(OR($R60="",$H60="",$H60=0),"",$R60/$H60)</f>
        <v/>
      </c>
      <c r="T60" s="29" t="str">
        <f aca="false">IF(OR($R60="",$M60="",$M60=0),"",$R60/$M60)</f>
        <v/>
      </c>
      <c r="U60" s="26" t="str">
        <f aca="false">IF(OR($H60="",$H60=0,$I60=""),"",$I60/$H60)</f>
        <v/>
      </c>
      <c r="V60" s="24"/>
    </row>
    <row r="61" customFormat="false" ht="15" hidden="false" customHeight="false" outlineLevel="0" collapsed="false">
      <c r="A61" s="21"/>
      <c r="B61" s="22" t="str">
        <f aca="false">IF($A61="","",INDEX(Config!$F$2:$F$8,WEEKDAY($A61,2)))</f>
        <v/>
      </c>
      <c r="C61" s="23" t="str">
        <f aca="false">IF($A61="","",EOMONTH($A61,0))</f>
        <v/>
      </c>
      <c r="D61" s="24"/>
      <c r="E61" s="24"/>
      <c r="F61" s="25"/>
      <c r="G61" s="25"/>
      <c r="H61" s="26" t="str">
        <f aca="false">IF(OR($F61="",$G61=""),"",($G61-$F61+IF($G61&lt;$F61,1,0))*24)</f>
        <v/>
      </c>
      <c r="I61" s="27"/>
      <c r="J61" s="28"/>
      <c r="K61" s="29" t="str">
        <f aca="false">IF($J61="","",$J61*Config!$B$5)</f>
        <v/>
      </c>
      <c r="L61" s="28"/>
      <c r="M61" s="27"/>
      <c r="N61" s="28"/>
      <c r="O61" s="29" t="str">
        <f aca="false">IF($M61="","",$M61*Config!$B$6)</f>
        <v/>
      </c>
      <c r="P61" s="28"/>
      <c r="Q61" s="28"/>
      <c r="R61" s="30" t="str">
        <f aca="false">IF($J61="","",$J61-$K61+SUM($L61)-SUM($N61:$Q61))</f>
        <v/>
      </c>
      <c r="S61" s="30" t="str">
        <f aca="false">IF(OR($R61="",$H61="",$H61=0),"",$R61/$H61)</f>
        <v/>
      </c>
      <c r="T61" s="29" t="str">
        <f aca="false">IF(OR($R61="",$M61="",$M61=0),"",$R61/$M61)</f>
        <v/>
      </c>
      <c r="U61" s="26" t="str">
        <f aca="false">IF(OR($H61="",$H61=0,$I61=""),"",$I61/$H61)</f>
        <v/>
      </c>
      <c r="V61" s="24"/>
    </row>
    <row r="62" customFormat="false" ht="15" hidden="false" customHeight="false" outlineLevel="0" collapsed="false">
      <c r="A62" s="21"/>
      <c r="B62" s="22" t="str">
        <f aca="false">IF($A62="","",INDEX(Config!$F$2:$F$8,WEEKDAY($A62,2)))</f>
        <v/>
      </c>
      <c r="C62" s="23" t="str">
        <f aca="false">IF($A62="","",EOMONTH($A62,0))</f>
        <v/>
      </c>
      <c r="D62" s="24"/>
      <c r="E62" s="24"/>
      <c r="F62" s="25"/>
      <c r="G62" s="25"/>
      <c r="H62" s="26" t="str">
        <f aca="false">IF(OR($F62="",$G62=""),"",($G62-$F62+IF($G62&lt;$F62,1,0))*24)</f>
        <v/>
      </c>
      <c r="I62" s="27"/>
      <c r="J62" s="28"/>
      <c r="K62" s="29" t="str">
        <f aca="false">IF($J62="","",$J62*Config!$B$5)</f>
        <v/>
      </c>
      <c r="L62" s="28"/>
      <c r="M62" s="27"/>
      <c r="N62" s="28"/>
      <c r="O62" s="29" t="str">
        <f aca="false">IF($M62="","",$M62*Config!$B$6)</f>
        <v/>
      </c>
      <c r="P62" s="28"/>
      <c r="Q62" s="28"/>
      <c r="R62" s="30" t="str">
        <f aca="false">IF($J62="","",$J62-$K62+SUM($L62)-SUM($N62:$Q62))</f>
        <v/>
      </c>
      <c r="S62" s="30" t="str">
        <f aca="false">IF(OR($R62="",$H62="",$H62=0),"",$R62/$H62)</f>
        <v/>
      </c>
      <c r="T62" s="29" t="str">
        <f aca="false">IF(OR($R62="",$M62="",$M62=0),"",$R62/$M62)</f>
        <v/>
      </c>
      <c r="U62" s="26" t="str">
        <f aca="false">IF(OR($H62="",$H62=0,$I62=""),"",$I62/$H62)</f>
        <v/>
      </c>
      <c r="V62" s="24"/>
    </row>
    <row r="63" customFormat="false" ht="15" hidden="false" customHeight="false" outlineLevel="0" collapsed="false">
      <c r="A63" s="21"/>
      <c r="B63" s="22" t="str">
        <f aca="false">IF($A63="","",INDEX(Config!$F$2:$F$8,WEEKDAY($A63,2)))</f>
        <v/>
      </c>
      <c r="C63" s="23" t="str">
        <f aca="false">IF($A63="","",EOMONTH($A63,0))</f>
        <v/>
      </c>
      <c r="D63" s="24"/>
      <c r="E63" s="24"/>
      <c r="F63" s="25"/>
      <c r="G63" s="25"/>
      <c r="H63" s="26" t="str">
        <f aca="false">IF(OR($F63="",$G63=""),"",($G63-$F63+IF($G63&lt;$F63,1,0))*24)</f>
        <v/>
      </c>
      <c r="I63" s="27"/>
      <c r="J63" s="28"/>
      <c r="K63" s="29" t="str">
        <f aca="false">IF($J63="","",$J63*Config!$B$5)</f>
        <v/>
      </c>
      <c r="L63" s="28"/>
      <c r="M63" s="27"/>
      <c r="N63" s="28"/>
      <c r="O63" s="29" t="str">
        <f aca="false">IF($M63="","",$M63*Config!$B$6)</f>
        <v/>
      </c>
      <c r="P63" s="28"/>
      <c r="Q63" s="28"/>
      <c r="R63" s="30" t="str">
        <f aca="false">IF($J63="","",$J63-$K63+SUM($L63)-SUM($N63:$Q63))</f>
        <v/>
      </c>
      <c r="S63" s="30" t="str">
        <f aca="false">IF(OR($R63="",$H63="",$H63=0),"",$R63/$H63)</f>
        <v/>
      </c>
      <c r="T63" s="29" t="str">
        <f aca="false">IF(OR($R63="",$M63="",$M63=0),"",$R63/$M63)</f>
        <v/>
      </c>
      <c r="U63" s="26" t="str">
        <f aca="false">IF(OR($H63="",$H63=0,$I63=""),"",$I63/$H63)</f>
        <v/>
      </c>
      <c r="V63" s="24"/>
    </row>
    <row r="64" customFormat="false" ht="15" hidden="false" customHeight="false" outlineLevel="0" collapsed="false">
      <c r="A64" s="21"/>
      <c r="B64" s="22" t="str">
        <f aca="false">IF($A64="","",INDEX(Config!$F$2:$F$8,WEEKDAY($A64,2)))</f>
        <v/>
      </c>
      <c r="C64" s="23" t="str">
        <f aca="false">IF($A64="","",EOMONTH($A64,0))</f>
        <v/>
      </c>
      <c r="D64" s="24"/>
      <c r="E64" s="24"/>
      <c r="F64" s="25"/>
      <c r="G64" s="25"/>
      <c r="H64" s="26" t="str">
        <f aca="false">IF(OR($F64="",$G64=""),"",($G64-$F64+IF($G64&lt;$F64,1,0))*24)</f>
        <v/>
      </c>
      <c r="I64" s="27"/>
      <c r="J64" s="28"/>
      <c r="K64" s="29" t="str">
        <f aca="false">IF($J64="","",$J64*Config!$B$5)</f>
        <v/>
      </c>
      <c r="L64" s="28"/>
      <c r="M64" s="27"/>
      <c r="N64" s="28"/>
      <c r="O64" s="29" t="str">
        <f aca="false">IF($M64="","",$M64*Config!$B$6)</f>
        <v/>
      </c>
      <c r="P64" s="28"/>
      <c r="Q64" s="28"/>
      <c r="R64" s="30" t="str">
        <f aca="false">IF($J64="","",$J64-$K64+SUM($L64)-SUM($N64:$Q64))</f>
        <v/>
      </c>
      <c r="S64" s="30" t="str">
        <f aca="false">IF(OR($R64="",$H64="",$H64=0),"",$R64/$H64)</f>
        <v/>
      </c>
      <c r="T64" s="29" t="str">
        <f aca="false">IF(OR($R64="",$M64="",$M64=0),"",$R64/$M64)</f>
        <v/>
      </c>
      <c r="U64" s="26" t="str">
        <f aca="false">IF(OR($H64="",$H64=0,$I64=""),"",$I64/$H64)</f>
        <v/>
      </c>
      <c r="V64" s="24"/>
    </row>
    <row r="65" customFormat="false" ht="15" hidden="false" customHeight="false" outlineLevel="0" collapsed="false">
      <c r="A65" s="21"/>
      <c r="B65" s="22" t="str">
        <f aca="false">IF($A65="","",INDEX(Config!$F$2:$F$8,WEEKDAY($A65,2)))</f>
        <v/>
      </c>
      <c r="C65" s="23" t="str">
        <f aca="false">IF($A65="","",EOMONTH($A65,0))</f>
        <v/>
      </c>
      <c r="D65" s="24"/>
      <c r="E65" s="24"/>
      <c r="F65" s="25"/>
      <c r="G65" s="25"/>
      <c r="H65" s="26" t="str">
        <f aca="false">IF(OR($F65="",$G65=""),"",($G65-$F65+IF($G65&lt;$F65,1,0))*24)</f>
        <v/>
      </c>
      <c r="I65" s="27"/>
      <c r="J65" s="28"/>
      <c r="K65" s="29" t="str">
        <f aca="false">IF($J65="","",$J65*Config!$B$5)</f>
        <v/>
      </c>
      <c r="L65" s="28"/>
      <c r="M65" s="27"/>
      <c r="N65" s="28"/>
      <c r="O65" s="29" t="str">
        <f aca="false">IF($M65="","",$M65*Config!$B$6)</f>
        <v/>
      </c>
      <c r="P65" s="28"/>
      <c r="Q65" s="28"/>
      <c r="R65" s="30" t="str">
        <f aca="false">IF($J65="","",$J65-$K65+SUM($L65)-SUM($N65:$Q65))</f>
        <v/>
      </c>
      <c r="S65" s="30" t="str">
        <f aca="false">IF(OR($R65="",$H65="",$H65=0),"",$R65/$H65)</f>
        <v/>
      </c>
      <c r="T65" s="29" t="str">
        <f aca="false">IF(OR($R65="",$M65="",$M65=0),"",$R65/$M65)</f>
        <v/>
      </c>
      <c r="U65" s="26" t="str">
        <f aca="false">IF(OR($H65="",$H65=0,$I65=""),"",$I65/$H65)</f>
        <v/>
      </c>
      <c r="V65" s="24"/>
    </row>
    <row r="66" customFormat="false" ht="15" hidden="false" customHeight="false" outlineLevel="0" collapsed="false">
      <c r="A66" s="21"/>
      <c r="B66" s="22" t="str">
        <f aca="false">IF($A66="","",INDEX(Config!$F$2:$F$8,WEEKDAY($A66,2)))</f>
        <v/>
      </c>
      <c r="C66" s="23" t="str">
        <f aca="false">IF($A66="","",EOMONTH($A66,0))</f>
        <v/>
      </c>
      <c r="D66" s="24"/>
      <c r="E66" s="24"/>
      <c r="F66" s="25"/>
      <c r="G66" s="25"/>
      <c r="H66" s="26" t="str">
        <f aca="false">IF(OR($F66="",$G66=""),"",($G66-$F66+IF($G66&lt;$F66,1,0))*24)</f>
        <v/>
      </c>
      <c r="I66" s="27"/>
      <c r="J66" s="28"/>
      <c r="K66" s="29" t="str">
        <f aca="false">IF($J66="","",$J66*Config!$B$5)</f>
        <v/>
      </c>
      <c r="L66" s="28"/>
      <c r="M66" s="27"/>
      <c r="N66" s="28"/>
      <c r="O66" s="29" t="str">
        <f aca="false">IF($M66="","",$M66*Config!$B$6)</f>
        <v/>
      </c>
      <c r="P66" s="28"/>
      <c r="Q66" s="28"/>
      <c r="R66" s="30" t="str">
        <f aca="false">IF($J66="","",$J66-$K66+SUM($L66)-SUM($N66:$Q66))</f>
        <v/>
      </c>
      <c r="S66" s="30" t="str">
        <f aca="false">IF(OR($R66="",$H66="",$H66=0),"",$R66/$H66)</f>
        <v/>
      </c>
      <c r="T66" s="29" t="str">
        <f aca="false">IF(OR($R66="",$M66="",$M66=0),"",$R66/$M66)</f>
        <v/>
      </c>
      <c r="U66" s="26" t="str">
        <f aca="false">IF(OR($H66="",$H66=0,$I66=""),"",$I66/$H66)</f>
        <v/>
      </c>
      <c r="V66" s="24"/>
    </row>
    <row r="67" customFormat="false" ht="15" hidden="false" customHeight="false" outlineLevel="0" collapsed="false">
      <c r="A67" s="21"/>
      <c r="B67" s="22" t="str">
        <f aca="false">IF($A67="","",INDEX(Config!$F$2:$F$8,WEEKDAY($A67,2)))</f>
        <v/>
      </c>
      <c r="C67" s="23" t="str">
        <f aca="false">IF($A67="","",EOMONTH($A67,0))</f>
        <v/>
      </c>
      <c r="D67" s="24"/>
      <c r="E67" s="24"/>
      <c r="F67" s="25"/>
      <c r="G67" s="25"/>
      <c r="H67" s="26" t="str">
        <f aca="false">IF(OR($F67="",$G67=""),"",($G67-$F67+IF($G67&lt;$F67,1,0))*24)</f>
        <v/>
      </c>
      <c r="I67" s="27"/>
      <c r="J67" s="28"/>
      <c r="K67" s="29" t="str">
        <f aca="false">IF($J67="","",$J67*Config!$B$5)</f>
        <v/>
      </c>
      <c r="L67" s="28"/>
      <c r="M67" s="27"/>
      <c r="N67" s="28"/>
      <c r="O67" s="29" t="str">
        <f aca="false">IF($M67="","",$M67*Config!$B$6)</f>
        <v/>
      </c>
      <c r="P67" s="28"/>
      <c r="Q67" s="28"/>
      <c r="R67" s="30" t="str">
        <f aca="false">IF($J67="","",$J67-$K67+SUM($L67)-SUM($N67:$Q67))</f>
        <v/>
      </c>
      <c r="S67" s="30" t="str">
        <f aca="false">IF(OR($R67="",$H67="",$H67=0),"",$R67/$H67)</f>
        <v/>
      </c>
      <c r="T67" s="29" t="str">
        <f aca="false">IF(OR($R67="",$M67="",$M67=0),"",$R67/$M67)</f>
        <v/>
      </c>
      <c r="U67" s="26" t="str">
        <f aca="false">IF(OR($H67="",$H67=0,$I67=""),"",$I67/$H67)</f>
        <v/>
      </c>
      <c r="V67" s="24"/>
    </row>
    <row r="68" customFormat="false" ht="15" hidden="false" customHeight="false" outlineLevel="0" collapsed="false">
      <c r="A68" s="21"/>
      <c r="B68" s="22" t="str">
        <f aca="false">IF($A68="","",INDEX(Config!$F$2:$F$8,WEEKDAY($A68,2)))</f>
        <v/>
      </c>
      <c r="C68" s="23" t="str">
        <f aca="false">IF($A68="","",EOMONTH($A68,0))</f>
        <v/>
      </c>
      <c r="D68" s="24"/>
      <c r="E68" s="24"/>
      <c r="F68" s="25"/>
      <c r="G68" s="25"/>
      <c r="H68" s="26" t="str">
        <f aca="false">IF(OR($F68="",$G68=""),"",($G68-$F68+IF($G68&lt;$F68,1,0))*24)</f>
        <v/>
      </c>
      <c r="I68" s="27"/>
      <c r="J68" s="28"/>
      <c r="K68" s="29" t="str">
        <f aca="false">IF($J68="","",$J68*Config!$B$5)</f>
        <v/>
      </c>
      <c r="L68" s="28"/>
      <c r="M68" s="27"/>
      <c r="N68" s="28"/>
      <c r="O68" s="29" t="str">
        <f aca="false">IF($M68="","",$M68*Config!$B$6)</f>
        <v/>
      </c>
      <c r="P68" s="28"/>
      <c r="Q68" s="28"/>
      <c r="R68" s="30" t="str">
        <f aca="false">IF($J68="","",$J68-$K68+SUM($L68)-SUM($N68:$Q68))</f>
        <v/>
      </c>
      <c r="S68" s="30" t="str">
        <f aca="false">IF(OR($R68="",$H68="",$H68=0),"",$R68/$H68)</f>
        <v/>
      </c>
      <c r="T68" s="29" t="str">
        <f aca="false">IF(OR($R68="",$M68="",$M68=0),"",$R68/$M68)</f>
        <v/>
      </c>
      <c r="U68" s="26" t="str">
        <f aca="false">IF(OR($H68="",$H68=0,$I68=""),"",$I68/$H68)</f>
        <v/>
      </c>
      <c r="V68" s="24"/>
    </row>
    <row r="69" customFormat="false" ht="15" hidden="false" customHeight="false" outlineLevel="0" collapsed="false">
      <c r="A69" s="21"/>
      <c r="B69" s="22" t="str">
        <f aca="false">IF($A69="","",INDEX(Config!$F$2:$F$8,WEEKDAY($A69,2)))</f>
        <v/>
      </c>
      <c r="C69" s="23" t="str">
        <f aca="false">IF($A69="","",EOMONTH($A69,0))</f>
        <v/>
      </c>
      <c r="D69" s="24"/>
      <c r="E69" s="24"/>
      <c r="F69" s="25"/>
      <c r="G69" s="25"/>
      <c r="H69" s="26" t="str">
        <f aca="false">IF(OR($F69="",$G69=""),"",($G69-$F69+IF($G69&lt;$F69,1,0))*24)</f>
        <v/>
      </c>
      <c r="I69" s="27"/>
      <c r="J69" s="28"/>
      <c r="K69" s="29" t="str">
        <f aca="false">IF($J69="","",$J69*Config!$B$5)</f>
        <v/>
      </c>
      <c r="L69" s="28"/>
      <c r="M69" s="27"/>
      <c r="N69" s="28"/>
      <c r="O69" s="29" t="str">
        <f aca="false">IF($M69="","",$M69*Config!$B$6)</f>
        <v/>
      </c>
      <c r="P69" s="28"/>
      <c r="Q69" s="28"/>
      <c r="R69" s="30" t="str">
        <f aca="false">IF($J69="","",$J69-$K69+SUM($L69)-SUM($N69:$Q69))</f>
        <v/>
      </c>
      <c r="S69" s="30" t="str">
        <f aca="false">IF(OR($R69="",$H69="",$H69=0),"",$R69/$H69)</f>
        <v/>
      </c>
      <c r="T69" s="29" t="str">
        <f aca="false">IF(OR($R69="",$M69="",$M69=0),"",$R69/$M69)</f>
        <v/>
      </c>
      <c r="U69" s="26" t="str">
        <f aca="false">IF(OR($H69="",$H69=0,$I69=""),"",$I69/$H69)</f>
        <v/>
      </c>
      <c r="V69" s="24"/>
    </row>
    <row r="70" customFormat="false" ht="15" hidden="false" customHeight="false" outlineLevel="0" collapsed="false">
      <c r="A70" s="21"/>
      <c r="B70" s="22" t="str">
        <f aca="false">IF($A70="","",INDEX(Config!$F$2:$F$8,WEEKDAY($A70,2)))</f>
        <v/>
      </c>
      <c r="C70" s="23" t="str">
        <f aca="false">IF($A70="","",EOMONTH($A70,0))</f>
        <v/>
      </c>
      <c r="D70" s="24"/>
      <c r="E70" s="24"/>
      <c r="F70" s="25"/>
      <c r="G70" s="25"/>
      <c r="H70" s="26" t="str">
        <f aca="false">IF(OR($F70="",$G70=""),"",($G70-$F70+IF($G70&lt;$F70,1,0))*24)</f>
        <v/>
      </c>
      <c r="I70" s="27"/>
      <c r="J70" s="28"/>
      <c r="K70" s="29" t="str">
        <f aca="false">IF($J70="","",$J70*Config!$B$5)</f>
        <v/>
      </c>
      <c r="L70" s="28"/>
      <c r="M70" s="27"/>
      <c r="N70" s="28"/>
      <c r="O70" s="29" t="str">
        <f aca="false">IF($M70="","",$M70*Config!$B$6)</f>
        <v/>
      </c>
      <c r="P70" s="28"/>
      <c r="Q70" s="28"/>
      <c r="R70" s="30" t="str">
        <f aca="false">IF($J70="","",$J70-$K70+SUM($L70)-SUM($N70:$Q70))</f>
        <v/>
      </c>
      <c r="S70" s="30" t="str">
        <f aca="false">IF(OR($R70="",$H70="",$H70=0),"",$R70/$H70)</f>
        <v/>
      </c>
      <c r="T70" s="29" t="str">
        <f aca="false">IF(OR($R70="",$M70="",$M70=0),"",$R70/$M70)</f>
        <v/>
      </c>
      <c r="U70" s="26" t="str">
        <f aca="false">IF(OR($H70="",$H70=0,$I70=""),"",$I70/$H70)</f>
        <v/>
      </c>
      <c r="V70" s="24"/>
    </row>
    <row r="71" customFormat="false" ht="15" hidden="false" customHeight="false" outlineLevel="0" collapsed="false">
      <c r="A71" s="21"/>
      <c r="B71" s="22" t="str">
        <f aca="false">IF($A71="","",INDEX(Config!$F$2:$F$8,WEEKDAY($A71,2)))</f>
        <v/>
      </c>
      <c r="C71" s="23" t="str">
        <f aca="false">IF($A71="","",EOMONTH($A71,0))</f>
        <v/>
      </c>
      <c r="D71" s="24"/>
      <c r="E71" s="24"/>
      <c r="F71" s="25"/>
      <c r="G71" s="25"/>
      <c r="H71" s="26" t="str">
        <f aca="false">IF(OR($F71="",$G71=""),"",($G71-$F71+IF($G71&lt;$F71,1,0))*24)</f>
        <v/>
      </c>
      <c r="I71" s="27"/>
      <c r="J71" s="28"/>
      <c r="K71" s="29" t="str">
        <f aca="false">IF($J71="","",$J71*Config!$B$5)</f>
        <v/>
      </c>
      <c r="L71" s="28"/>
      <c r="M71" s="27"/>
      <c r="N71" s="28"/>
      <c r="O71" s="29" t="str">
        <f aca="false">IF($M71="","",$M71*Config!$B$6)</f>
        <v/>
      </c>
      <c r="P71" s="28"/>
      <c r="Q71" s="28"/>
      <c r="R71" s="30" t="str">
        <f aca="false">IF($J71="","",$J71-$K71+SUM($L71)-SUM($N71:$Q71))</f>
        <v/>
      </c>
      <c r="S71" s="30" t="str">
        <f aca="false">IF(OR($R71="",$H71="",$H71=0),"",$R71/$H71)</f>
        <v/>
      </c>
      <c r="T71" s="29" t="str">
        <f aca="false">IF(OR($R71="",$M71="",$M71=0),"",$R71/$M71)</f>
        <v/>
      </c>
      <c r="U71" s="26" t="str">
        <f aca="false">IF(OR($H71="",$H71=0,$I71=""),"",$I71/$H71)</f>
        <v/>
      </c>
      <c r="V71" s="24"/>
    </row>
    <row r="72" customFormat="false" ht="15" hidden="false" customHeight="false" outlineLevel="0" collapsed="false">
      <c r="A72" s="21"/>
      <c r="B72" s="22" t="str">
        <f aca="false">IF($A72="","",INDEX(Config!$F$2:$F$8,WEEKDAY($A72,2)))</f>
        <v/>
      </c>
      <c r="C72" s="23" t="str">
        <f aca="false">IF($A72="","",EOMONTH($A72,0))</f>
        <v/>
      </c>
      <c r="D72" s="24"/>
      <c r="E72" s="24"/>
      <c r="F72" s="25"/>
      <c r="G72" s="25"/>
      <c r="H72" s="26" t="str">
        <f aca="false">IF(OR($F72="",$G72=""),"",($G72-$F72+IF($G72&lt;$F72,1,0))*24)</f>
        <v/>
      </c>
      <c r="I72" s="27"/>
      <c r="J72" s="28"/>
      <c r="K72" s="29" t="str">
        <f aca="false">IF($J72="","",$J72*Config!$B$5)</f>
        <v/>
      </c>
      <c r="L72" s="28"/>
      <c r="M72" s="27"/>
      <c r="N72" s="28"/>
      <c r="O72" s="29" t="str">
        <f aca="false">IF($M72="","",$M72*Config!$B$6)</f>
        <v/>
      </c>
      <c r="P72" s="28"/>
      <c r="Q72" s="28"/>
      <c r="R72" s="30" t="str">
        <f aca="false">IF($J72="","",$J72-$K72+SUM($L72)-SUM($N72:$Q72))</f>
        <v/>
      </c>
      <c r="S72" s="30" t="str">
        <f aca="false">IF(OR($R72="",$H72="",$H72=0),"",$R72/$H72)</f>
        <v/>
      </c>
      <c r="T72" s="29" t="str">
        <f aca="false">IF(OR($R72="",$M72="",$M72=0),"",$R72/$M72)</f>
        <v/>
      </c>
      <c r="U72" s="26" t="str">
        <f aca="false">IF(OR($H72="",$H72=0,$I72=""),"",$I72/$H72)</f>
        <v/>
      </c>
      <c r="V72" s="24"/>
    </row>
    <row r="73" customFormat="false" ht="15" hidden="false" customHeight="false" outlineLevel="0" collapsed="false">
      <c r="A73" s="21"/>
      <c r="B73" s="22" t="str">
        <f aca="false">IF($A73="","",INDEX(Config!$F$2:$F$8,WEEKDAY($A73,2)))</f>
        <v/>
      </c>
      <c r="C73" s="23" t="str">
        <f aca="false">IF($A73="","",EOMONTH($A73,0))</f>
        <v/>
      </c>
      <c r="D73" s="24"/>
      <c r="E73" s="24"/>
      <c r="F73" s="25"/>
      <c r="G73" s="25"/>
      <c r="H73" s="26" t="str">
        <f aca="false">IF(OR($F73="",$G73=""),"",($G73-$F73+IF($G73&lt;$F73,1,0))*24)</f>
        <v/>
      </c>
      <c r="I73" s="27"/>
      <c r="J73" s="28"/>
      <c r="K73" s="29" t="str">
        <f aca="false">IF($J73="","",$J73*Config!$B$5)</f>
        <v/>
      </c>
      <c r="L73" s="28"/>
      <c r="M73" s="27"/>
      <c r="N73" s="28"/>
      <c r="O73" s="29" t="str">
        <f aca="false">IF($M73="","",$M73*Config!$B$6)</f>
        <v/>
      </c>
      <c r="P73" s="28"/>
      <c r="Q73" s="28"/>
      <c r="R73" s="30" t="str">
        <f aca="false">IF($J73="","",$J73-$K73+SUM($L73)-SUM($N73:$Q73))</f>
        <v/>
      </c>
      <c r="S73" s="30" t="str">
        <f aca="false">IF(OR($R73="",$H73="",$H73=0),"",$R73/$H73)</f>
        <v/>
      </c>
      <c r="T73" s="29" t="str">
        <f aca="false">IF(OR($R73="",$M73="",$M73=0),"",$R73/$M73)</f>
        <v/>
      </c>
      <c r="U73" s="26" t="str">
        <f aca="false">IF(OR($H73="",$H73=0,$I73=""),"",$I73/$H73)</f>
        <v/>
      </c>
      <c r="V73" s="24"/>
    </row>
    <row r="74" customFormat="false" ht="15" hidden="false" customHeight="false" outlineLevel="0" collapsed="false">
      <c r="A74" s="21"/>
      <c r="B74" s="22" t="str">
        <f aca="false">IF($A74="","",INDEX(Config!$F$2:$F$8,WEEKDAY($A74,2)))</f>
        <v/>
      </c>
      <c r="C74" s="23" t="str">
        <f aca="false">IF($A74="","",EOMONTH($A74,0))</f>
        <v/>
      </c>
      <c r="D74" s="24"/>
      <c r="E74" s="24"/>
      <c r="F74" s="25"/>
      <c r="G74" s="25"/>
      <c r="H74" s="26" t="str">
        <f aca="false">IF(OR($F74="",$G74=""),"",($G74-$F74+IF($G74&lt;$F74,1,0))*24)</f>
        <v/>
      </c>
      <c r="I74" s="27"/>
      <c r="J74" s="28"/>
      <c r="K74" s="29" t="str">
        <f aca="false">IF($J74="","",$J74*Config!$B$5)</f>
        <v/>
      </c>
      <c r="L74" s="28"/>
      <c r="M74" s="27"/>
      <c r="N74" s="28"/>
      <c r="O74" s="29" t="str">
        <f aca="false">IF($M74="","",$M74*Config!$B$6)</f>
        <v/>
      </c>
      <c r="P74" s="28"/>
      <c r="Q74" s="28"/>
      <c r="R74" s="30" t="str">
        <f aca="false">IF($J74="","",$J74-$K74+SUM($L74)-SUM($N74:$Q74))</f>
        <v/>
      </c>
      <c r="S74" s="30" t="str">
        <f aca="false">IF(OR($R74="",$H74="",$H74=0),"",$R74/$H74)</f>
        <v/>
      </c>
      <c r="T74" s="29" t="str">
        <f aca="false">IF(OR($R74="",$M74="",$M74=0),"",$R74/$M74)</f>
        <v/>
      </c>
      <c r="U74" s="26" t="str">
        <f aca="false">IF(OR($H74="",$H74=0,$I74=""),"",$I74/$H74)</f>
        <v/>
      </c>
      <c r="V74" s="24"/>
    </row>
    <row r="75" customFormat="false" ht="15" hidden="false" customHeight="false" outlineLevel="0" collapsed="false">
      <c r="A75" s="21"/>
      <c r="B75" s="22" t="str">
        <f aca="false">IF($A75="","",INDEX(Config!$F$2:$F$8,WEEKDAY($A75,2)))</f>
        <v/>
      </c>
      <c r="C75" s="23" t="str">
        <f aca="false">IF($A75="","",EOMONTH($A75,0))</f>
        <v/>
      </c>
      <c r="D75" s="24"/>
      <c r="E75" s="24"/>
      <c r="F75" s="25"/>
      <c r="G75" s="25"/>
      <c r="H75" s="26" t="str">
        <f aca="false">IF(OR($F75="",$G75=""),"",($G75-$F75+IF($G75&lt;$F75,1,0))*24)</f>
        <v/>
      </c>
      <c r="I75" s="27"/>
      <c r="J75" s="28"/>
      <c r="K75" s="29" t="str">
        <f aca="false">IF($J75="","",$J75*Config!$B$5)</f>
        <v/>
      </c>
      <c r="L75" s="28"/>
      <c r="M75" s="27"/>
      <c r="N75" s="28"/>
      <c r="O75" s="29" t="str">
        <f aca="false">IF($M75="","",$M75*Config!$B$6)</f>
        <v/>
      </c>
      <c r="P75" s="28"/>
      <c r="Q75" s="28"/>
      <c r="R75" s="30" t="str">
        <f aca="false">IF($J75="","",$J75-$K75+SUM($L75)-SUM($N75:$Q75))</f>
        <v/>
      </c>
      <c r="S75" s="30" t="str">
        <f aca="false">IF(OR($R75="",$H75="",$H75=0),"",$R75/$H75)</f>
        <v/>
      </c>
      <c r="T75" s="29" t="str">
        <f aca="false">IF(OR($R75="",$M75="",$M75=0),"",$R75/$M75)</f>
        <v/>
      </c>
      <c r="U75" s="26" t="str">
        <f aca="false">IF(OR($H75="",$H75=0,$I75=""),"",$I75/$H75)</f>
        <v/>
      </c>
      <c r="V75" s="24"/>
    </row>
    <row r="76" customFormat="false" ht="15" hidden="false" customHeight="false" outlineLevel="0" collapsed="false">
      <c r="A76" s="21"/>
      <c r="B76" s="22" t="str">
        <f aca="false">IF($A76="","",INDEX(Config!$F$2:$F$8,WEEKDAY($A76,2)))</f>
        <v/>
      </c>
      <c r="C76" s="23" t="str">
        <f aca="false">IF($A76="","",EOMONTH($A76,0))</f>
        <v/>
      </c>
      <c r="D76" s="24"/>
      <c r="E76" s="24"/>
      <c r="F76" s="25"/>
      <c r="G76" s="25"/>
      <c r="H76" s="26" t="str">
        <f aca="false">IF(OR($F76="",$G76=""),"",($G76-$F76+IF($G76&lt;$F76,1,0))*24)</f>
        <v/>
      </c>
      <c r="I76" s="27"/>
      <c r="J76" s="28"/>
      <c r="K76" s="29" t="str">
        <f aca="false">IF($J76="","",$J76*Config!$B$5)</f>
        <v/>
      </c>
      <c r="L76" s="28"/>
      <c r="M76" s="27"/>
      <c r="N76" s="28"/>
      <c r="O76" s="29" t="str">
        <f aca="false">IF($M76="","",$M76*Config!$B$6)</f>
        <v/>
      </c>
      <c r="P76" s="28"/>
      <c r="Q76" s="28"/>
      <c r="R76" s="30" t="str">
        <f aca="false">IF($J76="","",$J76-$K76+SUM($L76)-SUM($N76:$Q76))</f>
        <v/>
      </c>
      <c r="S76" s="30" t="str">
        <f aca="false">IF(OR($R76="",$H76="",$H76=0),"",$R76/$H76)</f>
        <v/>
      </c>
      <c r="T76" s="29" t="str">
        <f aca="false">IF(OR($R76="",$M76="",$M76=0),"",$R76/$M76)</f>
        <v/>
      </c>
      <c r="U76" s="26" t="str">
        <f aca="false">IF(OR($H76="",$H76=0,$I76=""),"",$I76/$H76)</f>
        <v/>
      </c>
      <c r="V76" s="24"/>
    </row>
    <row r="77" customFormat="false" ht="15" hidden="false" customHeight="false" outlineLevel="0" collapsed="false">
      <c r="A77" s="21"/>
      <c r="B77" s="22" t="str">
        <f aca="false">IF($A77="","",INDEX(Config!$F$2:$F$8,WEEKDAY($A77,2)))</f>
        <v/>
      </c>
      <c r="C77" s="23" t="str">
        <f aca="false">IF($A77="","",EOMONTH($A77,0))</f>
        <v/>
      </c>
      <c r="D77" s="24"/>
      <c r="E77" s="24"/>
      <c r="F77" s="25"/>
      <c r="G77" s="25"/>
      <c r="H77" s="26" t="str">
        <f aca="false">IF(OR($F77="",$G77=""),"",($G77-$F77+IF($G77&lt;$F77,1,0))*24)</f>
        <v/>
      </c>
      <c r="I77" s="27"/>
      <c r="J77" s="28"/>
      <c r="K77" s="29" t="str">
        <f aca="false">IF($J77="","",$J77*Config!$B$5)</f>
        <v/>
      </c>
      <c r="L77" s="28"/>
      <c r="M77" s="27"/>
      <c r="N77" s="28"/>
      <c r="O77" s="29" t="str">
        <f aca="false">IF($M77="","",$M77*Config!$B$6)</f>
        <v/>
      </c>
      <c r="P77" s="28"/>
      <c r="Q77" s="28"/>
      <c r="R77" s="30" t="str">
        <f aca="false">IF($J77="","",$J77-$K77+SUM($L77)-SUM($N77:$Q77))</f>
        <v/>
      </c>
      <c r="S77" s="30" t="str">
        <f aca="false">IF(OR($R77="",$H77="",$H77=0),"",$R77/$H77)</f>
        <v/>
      </c>
      <c r="T77" s="29" t="str">
        <f aca="false">IF(OR($R77="",$M77="",$M77=0),"",$R77/$M77)</f>
        <v/>
      </c>
      <c r="U77" s="26" t="str">
        <f aca="false">IF(OR($H77="",$H77=0,$I77=""),"",$I77/$H77)</f>
        <v/>
      </c>
      <c r="V77" s="24"/>
    </row>
    <row r="78" customFormat="false" ht="15" hidden="false" customHeight="false" outlineLevel="0" collapsed="false">
      <c r="A78" s="21"/>
      <c r="B78" s="22" t="str">
        <f aca="false">IF($A78="","",INDEX(Config!$F$2:$F$8,WEEKDAY($A78,2)))</f>
        <v/>
      </c>
      <c r="C78" s="23" t="str">
        <f aca="false">IF($A78="","",EOMONTH($A78,0))</f>
        <v/>
      </c>
      <c r="D78" s="24"/>
      <c r="E78" s="24"/>
      <c r="F78" s="25"/>
      <c r="G78" s="25"/>
      <c r="H78" s="26" t="str">
        <f aca="false">IF(OR($F78="",$G78=""),"",($G78-$F78+IF($G78&lt;$F78,1,0))*24)</f>
        <v/>
      </c>
      <c r="I78" s="27"/>
      <c r="J78" s="28"/>
      <c r="K78" s="29" t="str">
        <f aca="false">IF($J78="","",$J78*Config!$B$5)</f>
        <v/>
      </c>
      <c r="L78" s="28"/>
      <c r="M78" s="27"/>
      <c r="N78" s="28"/>
      <c r="O78" s="29" t="str">
        <f aca="false">IF($M78="","",$M78*Config!$B$6)</f>
        <v/>
      </c>
      <c r="P78" s="28"/>
      <c r="Q78" s="28"/>
      <c r="R78" s="30" t="str">
        <f aca="false">IF($J78="","",$J78-$K78+SUM($L78)-SUM($N78:$Q78))</f>
        <v/>
      </c>
      <c r="S78" s="30" t="str">
        <f aca="false">IF(OR($R78="",$H78="",$H78=0),"",$R78/$H78)</f>
        <v/>
      </c>
      <c r="T78" s="29" t="str">
        <f aca="false">IF(OR($R78="",$M78="",$M78=0),"",$R78/$M78)</f>
        <v/>
      </c>
      <c r="U78" s="26" t="str">
        <f aca="false">IF(OR($H78="",$H78=0,$I78=""),"",$I78/$H78)</f>
        <v/>
      </c>
      <c r="V78" s="24"/>
    </row>
    <row r="79" customFormat="false" ht="15" hidden="false" customHeight="false" outlineLevel="0" collapsed="false">
      <c r="A79" s="21"/>
      <c r="B79" s="22" t="str">
        <f aca="false">IF($A79="","",INDEX(Config!$F$2:$F$8,WEEKDAY($A79,2)))</f>
        <v/>
      </c>
      <c r="C79" s="23" t="str">
        <f aca="false">IF($A79="","",EOMONTH($A79,0))</f>
        <v/>
      </c>
      <c r="D79" s="24"/>
      <c r="E79" s="24"/>
      <c r="F79" s="25"/>
      <c r="G79" s="25"/>
      <c r="H79" s="26" t="str">
        <f aca="false">IF(OR($F79="",$G79=""),"",($G79-$F79+IF($G79&lt;$F79,1,0))*24)</f>
        <v/>
      </c>
      <c r="I79" s="27"/>
      <c r="J79" s="28"/>
      <c r="K79" s="29" t="str">
        <f aca="false">IF($J79="","",$J79*Config!$B$5)</f>
        <v/>
      </c>
      <c r="L79" s="28"/>
      <c r="M79" s="27"/>
      <c r="N79" s="28"/>
      <c r="O79" s="29" t="str">
        <f aca="false">IF($M79="","",$M79*Config!$B$6)</f>
        <v/>
      </c>
      <c r="P79" s="28"/>
      <c r="Q79" s="28"/>
      <c r="R79" s="30" t="str">
        <f aca="false">IF($J79="","",$J79-$K79+SUM($L79)-SUM($N79:$Q79))</f>
        <v/>
      </c>
      <c r="S79" s="30" t="str">
        <f aca="false">IF(OR($R79="",$H79="",$H79=0),"",$R79/$H79)</f>
        <v/>
      </c>
      <c r="T79" s="29" t="str">
        <f aca="false">IF(OR($R79="",$M79="",$M79=0),"",$R79/$M79)</f>
        <v/>
      </c>
      <c r="U79" s="26" t="str">
        <f aca="false">IF(OR($H79="",$H79=0,$I79=""),"",$I79/$H79)</f>
        <v/>
      </c>
      <c r="V79" s="24"/>
    </row>
    <row r="80" customFormat="false" ht="15" hidden="false" customHeight="false" outlineLevel="0" collapsed="false">
      <c r="A80" s="21"/>
      <c r="B80" s="22" t="str">
        <f aca="false">IF($A80="","",INDEX(Config!$F$2:$F$8,WEEKDAY($A80,2)))</f>
        <v/>
      </c>
      <c r="C80" s="23" t="str">
        <f aca="false">IF($A80="","",EOMONTH($A80,0))</f>
        <v/>
      </c>
      <c r="D80" s="24"/>
      <c r="E80" s="24"/>
      <c r="F80" s="25"/>
      <c r="G80" s="25"/>
      <c r="H80" s="26" t="str">
        <f aca="false">IF(OR($F80="",$G80=""),"",($G80-$F80+IF($G80&lt;$F80,1,0))*24)</f>
        <v/>
      </c>
      <c r="I80" s="27"/>
      <c r="J80" s="28"/>
      <c r="K80" s="29" t="str">
        <f aca="false">IF($J80="","",$J80*Config!$B$5)</f>
        <v/>
      </c>
      <c r="L80" s="28"/>
      <c r="M80" s="27"/>
      <c r="N80" s="28"/>
      <c r="O80" s="29" t="str">
        <f aca="false">IF($M80="","",$M80*Config!$B$6)</f>
        <v/>
      </c>
      <c r="P80" s="28"/>
      <c r="Q80" s="28"/>
      <c r="R80" s="30" t="str">
        <f aca="false">IF($J80="","",$J80-$K80+SUM($L80)-SUM($N80:$Q80))</f>
        <v/>
      </c>
      <c r="S80" s="30" t="str">
        <f aca="false">IF(OR($R80="",$H80="",$H80=0),"",$R80/$H80)</f>
        <v/>
      </c>
      <c r="T80" s="29" t="str">
        <f aca="false">IF(OR($R80="",$M80="",$M80=0),"",$R80/$M80)</f>
        <v/>
      </c>
      <c r="U80" s="26" t="str">
        <f aca="false">IF(OR($H80="",$H80=0,$I80=""),"",$I80/$H80)</f>
        <v/>
      </c>
      <c r="V80" s="24"/>
    </row>
    <row r="81" customFormat="false" ht="15" hidden="false" customHeight="false" outlineLevel="0" collapsed="false">
      <c r="A81" s="21"/>
      <c r="B81" s="22" t="str">
        <f aca="false">IF($A81="","",INDEX(Config!$F$2:$F$8,WEEKDAY($A81,2)))</f>
        <v/>
      </c>
      <c r="C81" s="23" t="str">
        <f aca="false">IF($A81="","",EOMONTH($A81,0))</f>
        <v/>
      </c>
      <c r="D81" s="24"/>
      <c r="E81" s="24"/>
      <c r="F81" s="25"/>
      <c r="G81" s="25"/>
      <c r="H81" s="26" t="str">
        <f aca="false">IF(OR($F81="",$G81=""),"",($G81-$F81+IF($G81&lt;$F81,1,0))*24)</f>
        <v/>
      </c>
      <c r="I81" s="27"/>
      <c r="J81" s="28"/>
      <c r="K81" s="29" t="str">
        <f aca="false">IF($J81="","",$J81*Config!$B$5)</f>
        <v/>
      </c>
      <c r="L81" s="28"/>
      <c r="M81" s="27"/>
      <c r="N81" s="28"/>
      <c r="O81" s="29" t="str">
        <f aca="false">IF($M81="","",$M81*Config!$B$6)</f>
        <v/>
      </c>
      <c r="P81" s="28"/>
      <c r="Q81" s="28"/>
      <c r="R81" s="30" t="str">
        <f aca="false">IF($J81="","",$J81-$K81+SUM($L81)-SUM($N81:$Q81))</f>
        <v/>
      </c>
      <c r="S81" s="30" t="str">
        <f aca="false">IF(OR($R81="",$H81="",$H81=0),"",$R81/$H81)</f>
        <v/>
      </c>
      <c r="T81" s="29" t="str">
        <f aca="false">IF(OR($R81="",$M81="",$M81=0),"",$R81/$M81)</f>
        <v/>
      </c>
      <c r="U81" s="26" t="str">
        <f aca="false">IF(OR($H81="",$H81=0,$I81=""),"",$I81/$H81)</f>
        <v/>
      </c>
      <c r="V81" s="24"/>
    </row>
    <row r="82" customFormat="false" ht="15" hidden="false" customHeight="false" outlineLevel="0" collapsed="false">
      <c r="A82" s="21"/>
      <c r="B82" s="22" t="str">
        <f aca="false">IF($A82="","",INDEX(Config!$F$2:$F$8,WEEKDAY($A82,2)))</f>
        <v/>
      </c>
      <c r="C82" s="23" t="str">
        <f aca="false">IF($A82="","",EOMONTH($A82,0))</f>
        <v/>
      </c>
      <c r="D82" s="24"/>
      <c r="E82" s="24"/>
      <c r="F82" s="25"/>
      <c r="G82" s="25"/>
      <c r="H82" s="26" t="str">
        <f aca="false">IF(OR($F82="",$G82=""),"",($G82-$F82+IF($G82&lt;$F82,1,0))*24)</f>
        <v/>
      </c>
      <c r="I82" s="27"/>
      <c r="J82" s="28"/>
      <c r="K82" s="29" t="str">
        <f aca="false">IF($J82="","",$J82*Config!$B$5)</f>
        <v/>
      </c>
      <c r="L82" s="28"/>
      <c r="M82" s="27"/>
      <c r="N82" s="28"/>
      <c r="O82" s="29" t="str">
        <f aca="false">IF($M82="","",$M82*Config!$B$6)</f>
        <v/>
      </c>
      <c r="P82" s="28"/>
      <c r="Q82" s="28"/>
      <c r="R82" s="30" t="str">
        <f aca="false">IF($J82="","",$J82-$K82+SUM($L82)-SUM($N82:$Q82))</f>
        <v/>
      </c>
      <c r="S82" s="30" t="str">
        <f aca="false">IF(OR($R82="",$H82="",$H82=0),"",$R82/$H82)</f>
        <v/>
      </c>
      <c r="T82" s="29" t="str">
        <f aca="false">IF(OR($R82="",$M82="",$M82=0),"",$R82/$M82)</f>
        <v/>
      </c>
      <c r="U82" s="26" t="str">
        <f aca="false">IF(OR($H82="",$H82=0,$I82=""),"",$I82/$H82)</f>
        <v/>
      </c>
      <c r="V82" s="24"/>
    </row>
    <row r="83" customFormat="false" ht="15" hidden="false" customHeight="false" outlineLevel="0" collapsed="false">
      <c r="A83" s="21"/>
      <c r="B83" s="22" t="str">
        <f aca="false">IF($A83="","",INDEX(Config!$F$2:$F$8,WEEKDAY($A83,2)))</f>
        <v/>
      </c>
      <c r="C83" s="23" t="str">
        <f aca="false">IF($A83="","",EOMONTH($A83,0))</f>
        <v/>
      </c>
      <c r="D83" s="24"/>
      <c r="E83" s="24"/>
      <c r="F83" s="25"/>
      <c r="G83" s="25"/>
      <c r="H83" s="26" t="str">
        <f aca="false">IF(OR($F83="",$G83=""),"",($G83-$F83+IF($G83&lt;$F83,1,0))*24)</f>
        <v/>
      </c>
      <c r="I83" s="27"/>
      <c r="J83" s="28"/>
      <c r="K83" s="29" t="str">
        <f aca="false">IF($J83="","",$J83*Config!$B$5)</f>
        <v/>
      </c>
      <c r="L83" s="28"/>
      <c r="M83" s="27"/>
      <c r="N83" s="28"/>
      <c r="O83" s="29" t="str">
        <f aca="false">IF($M83="","",$M83*Config!$B$6)</f>
        <v/>
      </c>
      <c r="P83" s="28"/>
      <c r="Q83" s="28"/>
      <c r="R83" s="30" t="str">
        <f aca="false">IF($J83="","",$J83-$K83+SUM($L83)-SUM($N83:$Q83))</f>
        <v/>
      </c>
      <c r="S83" s="30" t="str">
        <f aca="false">IF(OR($R83="",$H83="",$H83=0),"",$R83/$H83)</f>
        <v/>
      </c>
      <c r="T83" s="29" t="str">
        <f aca="false">IF(OR($R83="",$M83="",$M83=0),"",$R83/$M83)</f>
        <v/>
      </c>
      <c r="U83" s="26" t="str">
        <f aca="false">IF(OR($H83="",$H83=0,$I83=""),"",$I83/$H83)</f>
        <v/>
      </c>
      <c r="V83" s="24"/>
    </row>
    <row r="84" customFormat="false" ht="15" hidden="false" customHeight="false" outlineLevel="0" collapsed="false">
      <c r="A84" s="21"/>
      <c r="B84" s="22" t="str">
        <f aca="false">IF($A84="","",INDEX(Config!$F$2:$F$8,WEEKDAY($A84,2)))</f>
        <v/>
      </c>
      <c r="C84" s="23" t="str">
        <f aca="false">IF($A84="","",EOMONTH($A84,0))</f>
        <v/>
      </c>
      <c r="D84" s="24"/>
      <c r="E84" s="24"/>
      <c r="F84" s="25"/>
      <c r="G84" s="25"/>
      <c r="H84" s="26" t="str">
        <f aca="false">IF(OR($F84="",$G84=""),"",($G84-$F84+IF($G84&lt;$F84,1,0))*24)</f>
        <v/>
      </c>
      <c r="I84" s="27"/>
      <c r="J84" s="28"/>
      <c r="K84" s="29" t="str">
        <f aca="false">IF($J84="","",$J84*Config!$B$5)</f>
        <v/>
      </c>
      <c r="L84" s="28"/>
      <c r="M84" s="27"/>
      <c r="N84" s="28"/>
      <c r="O84" s="29" t="str">
        <f aca="false">IF($M84="","",$M84*Config!$B$6)</f>
        <v/>
      </c>
      <c r="P84" s="28"/>
      <c r="Q84" s="28"/>
      <c r="R84" s="30" t="str">
        <f aca="false">IF($J84="","",$J84-$K84+SUM($L84)-SUM($N84:$Q84))</f>
        <v/>
      </c>
      <c r="S84" s="30" t="str">
        <f aca="false">IF(OR($R84="",$H84="",$H84=0),"",$R84/$H84)</f>
        <v/>
      </c>
      <c r="T84" s="29" t="str">
        <f aca="false">IF(OR($R84="",$M84="",$M84=0),"",$R84/$M84)</f>
        <v/>
      </c>
      <c r="U84" s="26" t="str">
        <f aca="false">IF(OR($H84="",$H84=0,$I84=""),"",$I84/$H84)</f>
        <v/>
      </c>
      <c r="V84" s="24"/>
    </row>
    <row r="85" customFormat="false" ht="15" hidden="false" customHeight="false" outlineLevel="0" collapsed="false">
      <c r="A85" s="21"/>
      <c r="B85" s="22" t="str">
        <f aca="false">IF($A85="","",INDEX(Config!$F$2:$F$8,WEEKDAY($A85,2)))</f>
        <v/>
      </c>
      <c r="C85" s="23" t="str">
        <f aca="false">IF($A85="","",EOMONTH($A85,0))</f>
        <v/>
      </c>
      <c r="D85" s="24"/>
      <c r="E85" s="24"/>
      <c r="F85" s="25"/>
      <c r="G85" s="25"/>
      <c r="H85" s="26" t="str">
        <f aca="false">IF(OR($F85="",$G85=""),"",($G85-$F85+IF($G85&lt;$F85,1,0))*24)</f>
        <v/>
      </c>
      <c r="I85" s="27"/>
      <c r="J85" s="28"/>
      <c r="K85" s="29" t="str">
        <f aca="false">IF($J85="","",$J85*Config!$B$5)</f>
        <v/>
      </c>
      <c r="L85" s="28"/>
      <c r="M85" s="27"/>
      <c r="N85" s="28"/>
      <c r="O85" s="29" t="str">
        <f aca="false">IF($M85="","",$M85*Config!$B$6)</f>
        <v/>
      </c>
      <c r="P85" s="28"/>
      <c r="Q85" s="28"/>
      <c r="R85" s="30" t="str">
        <f aca="false">IF($J85="","",$J85-$K85+SUM($L85)-SUM($N85:$Q85))</f>
        <v/>
      </c>
      <c r="S85" s="30" t="str">
        <f aca="false">IF(OR($R85="",$H85="",$H85=0),"",$R85/$H85)</f>
        <v/>
      </c>
      <c r="T85" s="29" t="str">
        <f aca="false">IF(OR($R85="",$M85="",$M85=0),"",$R85/$M85)</f>
        <v/>
      </c>
      <c r="U85" s="26" t="str">
        <f aca="false">IF(OR($H85="",$H85=0,$I85=""),"",$I85/$H85)</f>
        <v/>
      </c>
      <c r="V85" s="24"/>
    </row>
    <row r="86" customFormat="false" ht="15" hidden="false" customHeight="false" outlineLevel="0" collapsed="false">
      <c r="A86" s="21"/>
      <c r="B86" s="22" t="str">
        <f aca="false">IF($A86="","",INDEX(Config!$F$2:$F$8,WEEKDAY($A86,2)))</f>
        <v/>
      </c>
      <c r="C86" s="23" t="str">
        <f aca="false">IF($A86="","",EOMONTH($A86,0))</f>
        <v/>
      </c>
      <c r="D86" s="24"/>
      <c r="E86" s="24"/>
      <c r="F86" s="25"/>
      <c r="G86" s="25"/>
      <c r="H86" s="26" t="str">
        <f aca="false">IF(OR($F86="",$G86=""),"",($G86-$F86+IF($G86&lt;$F86,1,0))*24)</f>
        <v/>
      </c>
      <c r="I86" s="27"/>
      <c r="J86" s="28"/>
      <c r="K86" s="29" t="str">
        <f aca="false">IF($J86="","",$J86*Config!$B$5)</f>
        <v/>
      </c>
      <c r="L86" s="28"/>
      <c r="M86" s="27"/>
      <c r="N86" s="28"/>
      <c r="O86" s="29" t="str">
        <f aca="false">IF($M86="","",$M86*Config!$B$6)</f>
        <v/>
      </c>
      <c r="P86" s="28"/>
      <c r="Q86" s="28"/>
      <c r="R86" s="30" t="str">
        <f aca="false">IF($J86="","",$J86-$K86+SUM($L86)-SUM($N86:$Q86))</f>
        <v/>
      </c>
      <c r="S86" s="30" t="str">
        <f aca="false">IF(OR($R86="",$H86="",$H86=0),"",$R86/$H86)</f>
        <v/>
      </c>
      <c r="T86" s="29" t="str">
        <f aca="false">IF(OR($R86="",$M86="",$M86=0),"",$R86/$M86)</f>
        <v/>
      </c>
      <c r="U86" s="26" t="str">
        <f aca="false">IF(OR($H86="",$H86=0,$I86=""),"",$I86/$H86)</f>
        <v/>
      </c>
      <c r="V86" s="24"/>
    </row>
    <row r="87" customFormat="false" ht="15" hidden="false" customHeight="false" outlineLevel="0" collapsed="false">
      <c r="A87" s="21"/>
      <c r="B87" s="22" t="str">
        <f aca="false">IF($A87="","",INDEX(Config!$F$2:$F$8,WEEKDAY($A87,2)))</f>
        <v/>
      </c>
      <c r="C87" s="23" t="str">
        <f aca="false">IF($A87="","",EOMONTH($A87,0))</f>
        <v/>
      </c>
      <c r="D87" s="24"/>
      <c r="E87" s="24"/>
      <c r="F87" s="25"/>
      <c r="G87" s="25"/>
      <c r="H87" s="26" t="str">
        <f aca="false">IF(OR($F87="",$G87=""),"",($G87-$F87+IF($G87&lt;$F87,1,0))*24)</f>
        <v/>
      </c>
      <c r="I87" s="27"/>
      <c r="J87" s="28"/>
      <c r="K87" s="29" t="str">
        <f aca="false">IF($J87="","",$J87*Config!$B$5)</f>
        <v/>
      </c>
      <c r="L87" s="28"/>
      <c r="M87" s="27"/>
      <c r="N87" s="28"/>
      <c r="O87" s="29" t="str">
        <f aca="false">IF($M87="","",$M87*Config!$B$6)</f>
        <v/>
      </c>
      <c r="P87" s="28"/>
      <c r="Q87" s="28"/>
      <c r="R87" s="30" t="str">
        <f aca="false">IF($J87="","",$J87-$K87+SUM($L87)-SUM($N87:$Q87))</f>
        <v/>
      </c>
      <c r="S87" s="30" t="str">
        <f aca="false">IF(OR($R87="",$H87="",$H87=0),"",$R87/$H87)</f>
        <v/>
      </c>
      <c r="T87" s="29" t="str">
        <f aca="false">IF(OR($R87="",$M87="",$M87=0),"",$R87/$M87)</f>
        <v/>
      </c>
      <c r="U87" s="26" t="str">
        <f aca="false">IF(OR($H87="",$H87=0,$I87=""),"",$I87/$H87)</f>
        <v/>
      </c>
      <c r="V87" s="24"/>
    </row>
    <row r="88" customFormat="false" ht="15" hidden="false" customHeight="false" outlineLevel="0" collapsed="false">
      <c r="A88" s="21"/>
      <c r="B88" s="22" t="str">
        <f aca="false">IF($A88="","",INDEX(Config!$F$2:$F$8,WEEKDAY($A88,2)))</f>
        <v/>
      </c>
      <c r="C88" s="23" t="str">
        <f aca="false">IF($A88="","",EOMONTH($A88,0))</f>
        <v/>
      </c>
      <c r="D88" s="24"/>
      <c r="E88" s="24"/>
      <c r="F88" s="25"/>
      <c r="G88" s="25"/>
      <c r="H88" s="26" t="str">
        <f aca="false">IF(OR($F88="",$G88=""),"",($G88-$F88+IF($G88&lt;$F88,1,0))*24)</f>
        <v/>
      </c>
      <c r="I88" s="27"/>
      <c r="J88" s="28"/>
      <c r="K88" s="29" t="str">
        <f aca="false">IF($J88="","",$J88*Config!$B$5)</f>
        <v/>
      </c>
      <c r="L88" s="28"/>
      <c r="M88" s="27"/>
      <c r="N88" s="28"/>
      <c r="O88" s="29" t="str">
        <f aca="false">IF($M88="","",$M88*Config!$B$6)</f>
        <v/>
      </c>
      <c r="P88" s="28"/>
      <c r="Q88" s="28"/>
      <c r="R88" s="30" t="str">
        <f aca="false">IF($J88="","",$J88-$K88+SUM($L88)-SUM($N88:$Q88))</f>
        <v/>
      </c>
      <c r="S88" s="30" t="str">
        <f aca="false">IF(OR($R88="",$H88="",$H88=0),"",$R88/$H88)</f>
        <v/>
      </c>
      <c r="T88" s="29" t="str">
        <f aca="false">IF(OR($R88="",$M88="",$M88=0),"",$R88/$M88)</f>
        <v/>
      </c>
      <c r="U88" s="26" t="str">
        <f aca="false">IF(OR($H88="",$H88=0,$I88=""),"",$I88/$H88)</f>
        <v/>
      </c>
      <c r="V88" s="24"/>
    </row>
    <row r="89" customFormat="false" ht="15" hidden="false" customHeight="false" outlineLevel="0" collapsed="false">
      <c r="A89" s="21"/>
      <c r="B89" s="22" t="str">
        <f aca="false">IF($A89="","",INDEX(Config!$F$2:$F$8,WEEKDAY($A89,2)))</f>
        <v/>
      </c>
      <c r="C89" s="23" t="str">
        <f aca="false">IF($A89="","",EOMONTH($A89,0))</f>
        <v/>
      </c>
      <c r="D89" s="24"/>
      <c r="E89" s="24"/>
      <c r="F89" s="25"/>
      <c r="G89" s="25"/>
      <c r="H89" s="26" t="str">
        <f aca="false">IF(OR($F89="",$G89=""),"",($G89-$F89+IF($G89&lt;$F89,1,0))*24)</f>
        <v/>
      </c>
      <c r="I89" s="27"/>
      <c r="J89" s="28"/>
      <c r="K89" s="29" t="str">
        <f aca="false">IF($J89="","",$J89*Config!$B$5)</f>
        <v/>
      </c>
      <c r="L89" s="28"/>
      <c r="M89" s="27"/>
      <c r="N89" s="28"/>
      <c r="O89" s="29" t="str">
        <f aca="false">IF($M89="","",$M89*Config!$B$6)</f>
        <v/>
      </c>
      <c r="P89" s="28"/>
      <c r="Q89" s="28"/>
      <c r="R89" s="30" t="str">
        <f aca="false">IF($J89="","",$J89-$K89+SUM($L89)-SUM($N89:$Q89))</f>
        <v/>
      </c>
      <c r="S89" s="30" t="str">
        <f aca="false">IF(OR($R89="",$H89="",$H89=0),"",$R89/$H89)</f>
        <v/>
      </c>
      <c r="T89" s="29" t="str">
        <f aca="false">IF(OR($R89="",$M89="",$M89=0),"",$R89/$M89)</f>
        <v/>
      </c>
      <c r="U89" s="26" t="str">
        <f aca="false">IF(OR($H89="",$H89=0,$I89=""),"",$I89/$H89)</f>
        <v/>
      </c>
      <c r="V89" s="24"/>
    </row>
    <row r="90" customFormat="false" ht="15" hidden="false" customHeight="false" outlineLevel="0" collapsed="false">
      <c r="A90" s="21"/>
      <c r="B90" s="22" t="str">
        <f aca="false">IF($A90="","",INDEX(Config!$F$2:$F$8,WEEKDAY($A90,2)))</f>
        <v/>
      </c>
      <c r="C90" s="23" t="str">
        <f aca="false">IF($A90="","",EOMONTH($A90,0))</f>
        <v/>
      </c>
      <c r="D90" s="24"/>
      <c r="E90" s="24"/>
      <c r="F90" s="25"/>
      <c r="G90" s="25"/>
      <c r="H90" s="26" t="str">
        <f aca="false">IF(OR($F90="",$G90=""),"",($G90-$F90+IF($G90&lt;$F90,1,0))*24)</f>
        <v/>
      </c>
      <c r="I90" s="27"/>
      <c r="J90" s="28"/>
      <c r="K90" s="29" t="str">
        <f aca="false">IF($J90="","",$J90*Config!$B$5)</f>
        <v/>
      </c>
      <c r="L90" s="28"/>
      <c r="M90" s="27"/>
      <c r="N90" s="28"/>
      <c r="O90" s="29" t="str">
        <f aca="false">IF($M90="","",$M90*Config!$B$6)</f>
        <v/>
      </c>
      <c r="P90" s="28"/>
      <c r="Q90" s="28"/>
      <c r="R90" s="30" t="str">
        <f aca="false">IF($J90="","",$J90-$K90+SUM($L90)-SUM($N90:$Q90))</f>
        <v/>
      </c>
      <c r="S90" s="30" t="str">
        <f aca="false">IF(OR($R90="",$H90="",$H90=0),"",$R90/$H90)</f>
        <v/>
      </c>
      <c r="T90" s="29" t="str">
        <f aca="false">IF(OR($R90="",$M90="",$M90=0),"",$R90/$M90)</f>
        <v/>
      </c>
      <c r="U90" s="26" t="str">
        <f aca="false">IF(OR($H90="",$H90=0,$I90=""),"",$I90/$H90)</f>
        <v/>
      </c>
      <c r="V90" s="24"/>
    </row>
    <row r="91" customFormat="false" ht="15" hidden="false" customHeight="false" outlineLevel="0" collapsed="false">
      <c r="A91" s="21"/>
      <c r="B91" s="22" t="str">
        <f aca="false">IF($A91="","",INDEX(Config!$F$2:$F$8,WEEKDAY($A91,2)))</f>
        <v/>
      </c>
      <c r="C91" s="23" t="str">
        <f aca="false">IF($A91="","",EOMONTH($A91,0))</f>
        <v/>
      </c>
      <c r="D91" s="24"/>
      <c r="E91" s="24"/>
      <c r="F91" s="25"/>
      <c r="G91" s="25"/>
      <c r="H91" s="26" t="str">
        <f aca="false">IF(OR($F91="",$G91=""),"",($G91-$F91+IF($G91&lt;$F91,1,0))*24)</f>
        <v/>
      </c>
      <c r="I91" s="27"/>
      <c r="J91" s="28"/>
      <c r="K91" s="29" t="str">
        <f aca="false">IF($J91="","",$J91*Config!$B$5)</f>
        <v/>
      </c>
      <c r="L91" s="28"/>
      <c r="M91" s="27"/>
      <c r="N91" s="28"/>
      <c r="O91" s="29" t="str">
        <f aca="false">IF($M91="","",$M91*Config!$B$6)</f>
        <v/>
      </c>
      <c r="P91" s="28"/>
      <c r="Q91" s="28"/>
      <c r="R91" s="30" t="str">
        <f aca="false">IF($J91="","",$J91-$K91+SUM($L91)-SUM($N91:$Q91))</f>
        <v/>
      </c>
      <c r="S91" s="30" t="str">
        <f aca="false">IF(OR($R91="",$H91="",$H91=0),"",$R91/$H91)</f>
        <v/>
      </c>
      <c r="T91" s="29" t="str">
        <f aca="false">IF(OR($R91="",$M91="",$M91=0),"",$R91/$M91)</f>
        <v/>
      </c>
      <c r="U91" s="26" t="str">
        <f aca="false">IF(OR($H91="",$H91=0,$I91=""),"",$I91/$H91)</f>
        <v/>
      </c>
      <c r="V91" s="24"/>
    </row>
    <row r="92" customFormat="false" ht="15" hidden="false" customHeight="false" outlineLevel="0" collapsed="false">
      <c r="A92" s="21"/>
      <c r="B92" s="22" t="str">
        <f aca="false">IF($A92="","",INDEX(Config!$F$2:$F$8,WEEKDAY($A92,2)))</f>
        <v/>
      </c>
      <c r="C92" s="23" t="str">
        <f aca="false">IF($A92="","",EOMONTH($A92,0))</f>
        <v/>
      </c>
      <c r="D92" s="24"/>
      <c r="E92" s="24"/>
      <c r="F92" s="25"/>
      <c r="G92" s="25"/>
      <c r="H92" s="26" t="str">
        <f aca="false">IF(OR($F92="",$G92=""),"",($G92-$F92+IF($G92&lt;$F92,1,0))*24)</f>
        <v/>
      </c>
      <c r="I92" s="27"/>
      <c r="J92" s="28"/>
      <c r="K92" s="29" t="str">
        <f aca="false">IF($J92="","",$J92*Config!$B$5)</f>
        <v/>
      </c>
      <c r="L92" s="28"/>
      <c r="M92" s="27"/>
      <c r="N92" s="28"/>
      <c r="O92" s="29" t="str">
        <f aca="false">IF($M92="","",$M92*Config!$B$6)</f>
        <v/>
      </c>
      <c r="P92" s="28"/>
      <c r="Q92" s="28"/>
      <c r="R92" s="30" t="str">
        <f aca="false">IF($J92="","",$J92-$K92+SUM($L92)-SUM($N92:$Q92))</f>
        <v/>
      </c>
      <c r="S92" s="30" t="str">
        <f aca="false">IF(OR($R92="",$H92="",$H92=0),"",$R92/$H92)</f>
        <v/>
      </c>
      <c r="T92" s="29" t="str">
        <f aca="false">IF(OR($R92="",$M92="",$M92=0),"",$R92/$M92)</f>
        <v/>
      </c>
      <c r="U92" s="26" t="str">
        <f aca="false">IF(OR($H92="",$H92=0,$I92=""),"",$I92/$H92)</f>
        <v/>
      </c>
      <c r="V92" s="24"/>
    </row>
    <row r="93" customFormat="false" ht="15" hidden="false" customHeight="false" outlineLevel="0" collapsed="false">
      <c r="A93" s="21"/>
      <c r="B93" s="22" t="str">
        <f aca="false">IF($A93="","",INDEX(Config!$F$2:$F$8,WEEKDAY($A93,2)))</f>
        <v/>
      </c>
      <c r="C93" s="23" t="str">
        <f aca="false">IF($A93="","",EOMONTH($A93,0))</f>
        <v/>
      </c>
      <c r="D93" s="24"/>
      <c r="E93" s="24"/>
      <c r="F93" s="25"/>
      <c r="G93" s="25"/>
      <c r="H93" s="26" t="str">
        <f aca="false">IF(OR($F93="",$G93=""),"",($G93-$F93+IF($G93&lt;$F93,1,0))*24)</f>
        <v/>
      </c>
      <c r="I93" s="27"/>
      <c r="J93" s="28"/>
      <c r="K93" s="29" t="str">
        <f aca="false">IF($J93="","",$J93*Config!$B$5)</f>
        <v/>
      </c>
      <c r="L93" s="28"/>
      <c r="M93" s="27"/>
      <c r="N93" s="28"/>
      <c r="O93" s="29" t="str">
        <f aca="false">IF($M93="","",$M93*Config!$B$6)</f>
        <v/>
      </c>
      <c r="P93" s="28"/>
      <c r="Q93" s="28"/>
      <c r="R93" s="30" t="str">
        <f aca="false">IF($J93="","",$J93-$K93+SUM($L93)-SUM($N93:$Q93))</f>
        <v/>
      </c>
      <c r="S93" s="30" t="str">
        <f aca="false">IF(OR($R93="",$H93="",$H93=0),"",$R93/$H93)</f>
        <v/>
      </c>
      <c r="T93" s="29" t="str">
        <f aca="false">IF(OR($R93="",$M93="",$M93=0),"",$R93/$M93)</f>
        <v/>
      </c>
      <c r="U93" s="26" t="str">
        <f aca="false">IF(OR($H93="",$H93=0,$I93=""),"",$I93/$H93)</f>
        <v/>
      </c>
      <c r="V93" s="24"/>
    </row>
    <row r="94" customFormat="false" ht="15" hidden="false" customHeight="false" outlineLevel="0" collapsed="false">
      <c r="A94" s="21"/>
      <c r="B94" s="22" t="str">
        <f aca="false">IF($A94="","",INDEX(Config!$F$2:$F$8,WEEKDAY($A94,2)))</f>
        <v/>
      </c>
      <c r="C94" s="23" t="str">
        <f aca="false">IF($A94="","",EOMONTH($A94,0))</f>
        <v/>
      </c>
      <c r="D94" s="24"/>
      <c r="E94" s="24"/>
      <c r="F94" s="25"/>
      <c r="G94" s="25"/>
      <c r="H94" s="26" t="str">
        <f aca="false">IF(OR($F94="",$G94=""),"",($G94-$F94+IF($G94&lt;$F94,1,0))*24)</f>
        <v/>
      </c>
      <c r="I94" s="27"/>
      <c r="J94" s="28"/>
      <c r="K94" s="29" t="str">
        <f aca="false">IF($J94="","",$J94*Config!$B$5)</f>
        <v/>
      </c>
      <c r="L94" s="28"/>
      <c r="M94" s="27"/>
      <c r="N94" s="28"/>
      <c r="O94" s="29" t="str">
        <f aca="false">IF($M94="","",$M94*Config!$B$6)</f>
        <v/>
      </c>
      <c r="P94" s="28"/>
      <c r="Q94" s="28"/>
      <c r="R94" s="30" t="str">
        <f aca="false">IF($J94="","",$J94-$K94+SUM($L94)-SUM($N94:$Q94))</f>
        <v/>
      </c>
      <c r="S94" s="30" t="str">
        <f aca="false">IF(OR($R94="",$H94="",$H94=0),"",$R94/$H94)</f>
        <v/>
      </c>
      <c r="T94" s="29" t="str">
        <f aca="false">IF(OR($R94="",$M94="",$M94=0),"",$R94/$M94)</f>
        <v/>
      </c>
      <c r="U94" s="26" t="str">
        <f aca="false">IF(OR($H94="",$H94=0,$I94=""),"",$I94/$H94)</f>
        <v/>
      </c>
      <c r="V94" s="24"/>
    </row>
    <row r="95" customFormat="false" ht="15" hidden="false" customHeight="false" outlineLevel="0" collapsed="false">
      <c r="A95" s="21"/>
      <c r="B95" s="22" t="str">
        <f aca="false">IF($A95="","",INDEX(Config!$F$2:$F$8,WEEKDAY($A95,2)))</f>
        <v/>
      </c>
      <c r="C95" s="23" t="str">
        <f aca="false">IF($A95="","",EOMONTH($A95,0))</f>
        <v/>
      </c>
      <c r="D95" s="24"/>
      <c r="E95" s="24"/>
      <c r="F95" s="25"/>
      <c r="G95" s="25"/>
      <c r="H95" s="26" t="str">
        <f aca="false">IF(OR($F95="",$G95=""),"",($G95-$F95+IF($G95&lt;$F95,1,0))*24)</f>
        <v/>
      </c>
      <c r="I95" s="27"/>
      <c r="J95" s="28"/>
      <c r="K95" s="29" t="str">
        <f aca="false">IF($J95="","",$J95*Config!$B$5)</f>
        <v/>
      </c>
      <c r="L95" s="28"/>
      <c r="M95" s="27"/>
      <c r="N95" s="28"/>
      <c r="O95" s="29" t="str">
        <f aca="false">IF($M95="","",$M95*Config!$B$6)</f>
        <v/>
      </c>
      <c r="P95" s="28"/>
      <c r="Q95" s="28"/>
      <c r="R95" s="30" t="str">
        <f aca="false">IF($J95="","",$J95-$K95+SUM($L95)-SUM($N95:$Q95))</f>
        <v/>
      </c>
      <c r="S95" s="30" t="str">
        <f aca="false">IF(OR($R95="",$H95="",$H95=0),"",$R95/$H95)</f>
        <v/>
      </c>
      <c r="T95" s="29" t="str">
        <f aca="false">IF(OR($R95="",$M95="",$M95=0),"",$R95/$M95)</f>
        <v/>
      </c>
      <c r="U95" s="26" t="str">
        <f aca="false">IF(OR($H95="",$H95=0,$I95=""),"",$I95/$H95)</f>
        <v/>
      </c>
      <c r="V95" s="24"/>
    </row>
    <row r="96" customFormat="false" ht="15" hidden="false" customHeight="false" outlineLevel="0" collapsed="false">
      <c r="A96" s="21"/>
      <c r="B96" s="22" t="str">
        <f aca="false">IF($A96="","",INDEX(Config!$F$2:$F$8,WEEKDAY($A96,2)))</f>
        <v/>
      </c>
      <c r="C96" s="23" t="str">
        <f aca="false">IF($A96="","",EOMONTH($A96,0))</f>
        <v/>
      </c>
      <c r="D96" s="24"/>
      <c r="E96" s="24"/>
      <c r="F96" s="25"/>
      <c r="G96" s="25"/>
      <c r="H96" s="26" t="str">
        <f aca="false">IF(OR($F96="",$G96=""),"",($G96-$F96+IF($G96&lt;$F96,1,0))*24)</f>
        <v/>
      </c>
      <c r="I96" s="27"/>
      <c r="J96" s="28"/>
      <c r="K96" s="29" t="str">
        <f aca="false">IF($J96="","",$J96*Config!$B$5)</f>
        <v/>
      </c>
      <c r="L96" s="28"/>
      <c r="M96" s="27"/>
      <c r="N96" s="28"/>
      <c r="O96" s="29" t="str">
        <f aca="false">IF($M96="","",$M96*Config!$B$6)</f>
        <v/>
      </c>
      <c r="P96" s="28"/>
      <c r="Q96" s="28"/>
      <c r="R96" s="30" t="str">
        <f aca="false">IF($J96="","",$J96-$K96+SUM($L96)-SUM($N96:$Q96))</f>
        <v/>
      </c>
      <c r="S96" s="30" t="str">
        <f aca="false">IF(OR($R96="",$H96="",$H96=0),"",$R96/$H96)</f>
        <v/>
      </c>
      <c r="T96" s="29" t="str">
        <f aca="false">IF(OR($R96="",$M96="",$M96=0),"",$R96/$M96)</f>
        <v/>
      </c>
      <c r="U96" s="26" t="str">
        <f aca="false">IF(OR($H96="",$H96=0,$I96=""),"",$I96/$H96)</f>
        <v/>
      </c>
      <c r="V96" s="24"/>
    </row>
    <row r="97" customFormat="false" ht="15" hidden="false" customHeight="false" outlineLevel="0" collapsed="false">
      <c r="A97" s="21"/>
      <c r="B97" s="22" t="str">
        <f aca="false">IF($A97="","",INDEX(Config!$F$2:$F$8,WEEKDAY($A97,2)))</f>
        <v/>
      </c>
      <c r="C97" s="23" t="str">
        <f aca="false">IF($A97="","",EOMONTH($A97,0))</f>
        <v/>
      </c>
      <c r="D97" s="24"/>
      <c r="E97" s="24"/>
      <c r="F97" s="25"/>
      <c r="G97" s="25"/>
      <c r="H97" s="26" t="str">
        <f aca="false">IF(OR($F97="",$G97=""),"",($G97-$F97+IF($G97&lt;$F97,1,0))*24)</f>
        <v/>
      </c>
      <c r="I97" s="27"/>
      <c r="J97" s="28"/>
      <c r="K97" s="29" t="str">
        <f aca="false">IF($J97="","",$J97*Config!$B$5)</f>
        <v/>
      </c>
      <c r="L97" s="28"/>
      <c r="M97" s="27"/>
      <c r="N97" s="28"/>
      <c r="O97" s="29" t="str">
        <f aca="false">IF($M97="","",$M97*Config!$B$6)</f>
        <v/>
      </c>
      <c r="P97" s="28"/>
      <c r="Q97" s="28"/>
      <c r="R97" s="30" t="str">
        <f aca="false">IF($J97="","",$J97-$K97+SUM($L97)-SUM($N97:$Q97))</f>
        <v/>
      </c>
      <c r="S97" s="30" t="str">
        <f aca="false">IF(OR($R97="",$H97="",$H97=0),"",$R97/$H97)</f>
        <v/>
      </c>
      <c r="T97" s="29" t="str">
        <f aca="false">IF(OR($R97="",$M97="",$M97=0),"",$R97/$M97)</f>
        <v/>
      </c>
      <c r="U97" s="26" t="str">
        <f aca="false">IF(OR($H97="",$H97=0,$I97=""),"",$I97/$H97)</f>
        <v/>
      </c>
      <c r="V97" s="24"/>
    </row>
    <row r="98" customFormat="false" ht="15" hidden="false" customHeight="false" outlineLevel="0" collapsed="false">
      <c r="A98" s="21"/>
      <c r="B98" s="22" t="str">
        <f aca="false">IF($A98="","",INDEX(Config!$F$2:$F$8,WEEKDAY($A98,2)))</f>
        <v/>
      </c>
      <c r="C98" s="23" t="str">
        <f aca="false">IF($A98="","",EOMONTH($A98,0))</f>
        <v/>
      </c>
      <c r="D98" s="24"/>
      <c r="E98" s="24"/>
      <c r="F98" s="25"/>
      <c r="G98" s="25"/>
      <c r="H98" s="26" t="str">
        <f aca="false">IF(OR($F98="",$G98=""),"",($G98-$F98+IF($G98&lt;$F98,1,0))*24)</f>
        <v/>
      </c>
      <c r="I98" s="27"/>
      <c r="J98" s="28"/>
      <c r="K98" s="29" t="str">
        <f aca="false">IF($J98="","",$J98*Config!$B$5)</f>
        <v/>
      </c>
      <c r="L98" s="28"/>
      <c r="M98" s="27"/>
      <c r="N98" s="28"/>
      <c r="O98" s="29" t="str">
        <f aca="false">IF($M98="","",$M98*Config!$B$6)</f>
        <v/>
      </c>
      <c r="P98" s="28"/>
      <c r="Q98" s="28"/>
      <c r="R98" s="30" t="str">
        <f aca="false">IF($J98="","",$J98-$K98+SUM($L98)-SUM($N98:$Q98))</f>
        <v/>
      </c>
      <c r="S98" s="30" t="str">
        <f aca="false">IF(OR($R98="",$H98="",$H98=0),"",$R98/$H98)</f>
        <v/>
      </c>
      <c r="T98" s="29" t="str">
        <f aca="false">IF(OR($R98="",$M98="",$M98=0),"",$R98/$M98)</f>
        <v/>
      </c>
      <c r="U98" s="26" t="str">
        <f aca="false">IF(OR($H98="",$H98=0,$I98=""),"",$I98/$H98)</f>
        <v/>
      </c>
      <c r="V98" s="24"/>
    </row>
    <row r="99" customFormat="false" ht="15" hidden="false" customHeight="false" outlineLevel="0" collapsed="false">
      <c r="A99" s="21"/>
      <c r="B99" s="22" t="str">
        <f aca="false">IF($A99="","",INDEX(Config!$F$2:$F$8,WEEKDAY($A99,2)))</f>
        <v/>
      </c>
      <c r="C99" s="23" t="str">
        <f aca="false">IF($A99="","",EOMONTH($A99,0))</f>
        <v/>
      </c>
      <c r="D99" s="24"/>
      <c r="E99" s="24"/>
      <c r="F99" s="25"/>
      <c r="G99" s="25"/>
      <c r="H99" s="26" t="str">
        <f aca="false">IF(OR($F99="",$G99=""),"",($G99-$F99+IF($G99&lt;$F99,1,0))*24)</f>
        <v/>
      </c>
      <c r="I99" s="27"/>
      <c r="J99" s="28"/>
      <c r="K99" s="29" t="str">
        <f aca="false">IF($J99="","",$J99*Config!$B$5)</f>
        <v/>
      </c>
      <c r="L99" s="28"/>
      <c r="M99" s="27"/>
      <c r="N99" s="28"/>
      <c r="O99" s="29" t="str">
        <f aca="false">IF($M99="","",$M99*Config!$B$6)</f>
        <v/>
      </c>
      <c r="P99" s="28"/>
      <c r="Q99" s="28"/>
      <c r="R99" s="30" t="str">
        <f aca="false">IF($J99="","",$J99-$K99+SUM($L99)-SUM($N99:$Q99))</f>
        <v/>
      </c>
      <c r="S99" s="30" t="str">
        <f aca="false">IF(OR($R99="",$H99="",$H99=0),"",$R99/$H99)</f>
        <v/>
      </c>
      <c r="T99" s="29" t="str">
        <f aca="false">IF(OR($R99="",$M99="",$M99=0),"",$R99/$M99)</f>
        <v/>
      </c>
      <c r="U99" s="26" t="str">
        <f aca="false">IF(OR($H99="",$H99=0,$I99=""),"",$I99/$H99)</f>
        <v/>
      </c>
      <c r="V99" s="24"/>
    </row>
    <row r="100" customFormat="false" ht="15" hidden="false" customHeight="false" outlineLevel="0" collapsed="false">
      <c r="A100" s="21"/>
      <c r="B100" s="22" t="str">
        <f aca="false">IF($A100="","",INDEX(Config!$F$2:$F$8,WEEKDAY($A100,2)))</f>
        <v/>
      </c>
      <c r="C100" s="23" t="str">
        <f aca="false">IF($A100="","",EOMONTH($A100,0))</f>
        <v/>
      </c>
      <c r="D100" s="24"/>
      <c r="E100" s="24"/>
      <c r="F100" s="25"/>
      <c r="G100" s="25"/>
      <c r="H100" s="26" t="str">
        <f aca="false">IF(OR($F100="",$G100=""),"",($G100-$F100+IF($G100&lt;$F100,1,0))*24)</f>
        <v/>
      </c>
      <c r="I100" s="27"/>
      <c r="J100" s="28"/>
      <c r="K100" s="29" t="str">
        <f aca="false">IF($J100="","",$J100*Config!$B$5)</f>
        <v/>
      </c>
      <c r="L100" s="28"/>
      <c r="M100" s="27"/>
      <c r="N100" s="28"/>
      <c r="O100" s="29" t="str">
        <f aca="false">IF($M100="","",$M100*Config!$B$6)</f>
        <v/>
      </c>
      <c r="P100" s="28"/>
      <c r="Q100" s="28"/>
      <c r="R100" s="30" t="str">
        <f aca="false">IF($J100="","",$J100-$K100+SUM($L100)-SUM($N100:$Q100))</f>
        <v/>
      </c>
      <c r="S100" s="30" t="str">
        <f aca="false">IF(OR($R100="",$H100="",$H100=0),"",$R100/$H100)</f>
        <v/>
      </c>
      <c r="T100" s="29" t="str">
        <f aca="false">IF(OR($R100="",$M100="",$M100=0),"",$R100/$M100)</f>
        <v/>
      </c>
      <c r="U100" s="26" t="str">
        <f aca="false">IF(OR($H100="",$H100=0,$I100=""),"",$I100/$H100)</f>
        <v/>
      </c>
      <c r="V100" s="24"/>
    </row>
    <row r="101" customFormat="false" ht="15" hidden="false" customHeight="false" outlineLevel="0" collapsed="false">
      <c r="A101" s="21"/>
      <c r="B101" s="22" t="str">
        <f aca="false">IF($A101="","",INDEX(Config!$F$2:$F$8,WEEKDAY($A101,2)))</f>
        <v/>
      </c>
      <c r="C101" s="23" t="str">
        <f aca="false">IF($A101="","",EOMONTH($A101,0))</f>
        <v/>
      </c>
      <c r="D101" s="24"/>
      <c r="E101" s="24"/>
      <c r="F101" s="25"/>
      <c r="G101" s="25"/>
      <c r="H101" s="26" t="str">
        <f aca="false">IF(OR($F101="",$G101=""),"",($G101-$F101+IF($G101&lt;$F101,1,0))*24)</f>
        <v/>
      </c>
      <c r="I101" s="27"/>
      <c r="J101" s="28"/>
      <c r="K101" s="29" t="str">
        <f aca="false">IF($J101="","",$J101*Config!$B$5)</f>
        <v/>
      </c>
      <c r="L101" s="28"/>
      <c r="M101" s="27"/>
      <c r="N101" s="28"/>
      <c r="O101" s="29" t="str">
        <f aca="false">IF($M101="","",$M101*Config!$B$6)</f>
        <v/>
      </c>
      <c r="P101" s="28"/>
      <c r="Q101" s="28"/>
      <c r="R101" s="30" t="str">
        <f aca="false">IF($J101="","",$J101-$K101+SUM($L101)-SUM($N101:$Q101))</f>
        <v/>
      </c>
      <c r="S101" s="30" t="str">
        <f aca="false">IF(OR($R101="",$H101="",$H101=0),"",$R101/$H101)</f>
        <v/>
      </c>
      <c r="T101" s="29" t="str">
        <f aca="false">IF(OR($R101="",$M101="",$M101=0),"",$R101/$M101)</f>
        <v/>
      </c>
      <c r="U101" s="26" t="str">
        <f aca="false">IF(OR($H101="",$H101=0,$I101=""),"",$I101/$H101)</f>
        <v/>
      </c>
      <c r="V101" s="24"/>
    </row>
    <row r="102" customFormat="false" ht="15" hidden="false" customHeight="false" outlineLevel="0" collapsed="false">
      <c r="A102" s="21"/>
      <c r="B102" s="22" t="str">
        <f aca="false">IF($A102="","",INDEX(Config!$F$2:$F$8,WEEKDAY($A102,2)))</f>
        <v/>
      </c>
      <c r="C102" s="23" t="str">
        <f aca="false">IF($A102="","",EOMONTH($A102,0))</f>
        <v/>
      </c>
      <c r="D102" s="24"/>
      <c r="E102" s="24"/>
      <c r="F102" s="25"/>
      <c r="G102" s="25"/>
      <c r="H102" s="26" t="str">
        <f aca="false">IF(OR($F102="",$G102=""),"",($G102-$F102+IF($G102&lt;$F102,1,0))*24)</f>
        <v/>
      </c>
      <c r="I102" s="27"/>
      <c r="J102" s="28"/>
      <c r="K102" s="29" t="str">
        <f aca="false">IF($J102="","",$J102*Config!$B$5)</f>
        <v/>
      </c>
      <c r="L102" s="28"/>
      <c r="M102" s="27"/>
      <c r="N102" s="28"/>
      <c r="O102" s="29" t="str">
        <f aca="false">IF($M102="","",$M102*Config!$B$6)</f>
        <v/>
      </c>
      <c r="P102" s="28"/>
      <c r="Q102" s="28"/>
      <c r="R102" s="30" t="str">
        <f aca="false">IF($J102="","",$J102-$K102+SUM($L102)-SUM($N102:$Q102))</f>
        <v/>
      </c>
      <c r="S102" s="30" t="str">
        <f aca="false">IF(OR($R102="",$H102="",$H102=0),"",$R102/$H102)</f>
        <v/>
      </c>
      <c r="T102" s="29" t="str">
        <f aca="false">IF(OR($R102="",$M102="",$M102=0),"",$R102/$M102)</f>
        <v/>
      </c>
      <c r="U102" s="26" t="str">
        <f aca="false">IF(OR($H102="",$H102=0,$I102=""),"",$I102/$H102)</f>
        <v/>
      </c>
      <c r="V102" s="24"/>
    </row>
    <row r="103" customFormat="false" ht="15" hidden="false" customHeight="false" outlineLevel="0" collapsed="false">
      <c r="A103" s="21"/>
      <c r="B103" s="22" t="str">
        <f aca="false">IF($A103="","",INDEX(Config!$F$2:$F$8,WEEKDAY($A103,2)))</f>
        <v/>
      </c>
      <c r="C103" s="23" t="str">
        <f aca="false">IF($A103="","",EOMONTH($A103,0))</f>
        <v/>
      </c>
      <c r="D103" s="24"/>
      <c r="E103" s="24"/>
      <c r="F103" s="25"/>
      <c r="G103" s="25"/>
      <c r="H103" s="26" t="str">
        <f aca="false">IF(OR($F103="",$G103=""),"",($G103-$F103+IF($G103&lt;$F103,1,0))*24)</f>
        <v/>
      </c>
      <c r="I103" s="27"/>
      <c r="J103" s="28"/>
      <c r="K103" s="29" t="str">
        <f aca="false">IF($J103="","",$J103*Config!$B$5)</f>
        <v/>
      </c>
      <c r="L103" s="28"/>
      <c r="M103" s="27"/>
      <c r="N103" s="28"/>
      <c r="O103" s="29" t="str">
        <f aca="false">IF($M103="","",$M103*Config!$B$6)</f>
        <v/>
      </c>
      <c r="P103" s="28"/>
      <c r="Q103" s="28"/>
      <c r="R103" s="30" t="str">
        <f aca="false">IF($J103="","",$J103-$K103+SUM($L103)-SUM($N103:$Q103))</f>
        <v/>
      </c>
      <c r="S103" s="30" t="str">
        <f aca="false">IF(OR($R103="",$H103="",$H103=0),"",$R103/$H103)</f>
        <v/>
      </c>
      <c r="T103" s="29" t="str">
        <f aca="false">IF(OR($R103="",$M103="",$M103=0),"",$R103/$M103)</f>
        <v/>
      </c>
      <c r="U103" s="26" t="str">
        <f aca="false">IF(OR($H103="",$H103=0,$I103=""),"",$I103/$H103)</f>
        <v/>
      </c>
      <c r="V103" s="24"/>
    </row>
    <row r="104" customFormat="false" ht="15" hidden="false" customHeight="false" outlineLevel="0" collapsed="false">
      <c r="A104" s="21"/>
      <c r="B104" s="22" t="str">
        <f aca="false">IF($A104="","",INDEX(Config!$F$2:$F$8,WEEKDAY($A104,2)))</f>
        <v/>
      </c>
      <c r="C104" s="23" t="str">
        <f aca="false">IF($A104="","",EOMONTH($A104,0))</f>
        <v/>
      </c>
      <c r="D104" s="24"/>
      <c r="E104" s="24"/>
      <c r="F104" s="25"/>
      <c r="G104" s="25"/>
      <c r="H104" s="26" t="str">
        <f aca="false">IF(OR($F104="",$G104=""),"",($G104-$F104+IF($G104&lt;$F104,1,0))*24)</f>
        <v/>
      </c>
      <c r="I104" s="27"/>
      <c r="J104" s="28"/>
      <c r="K104" s="29" t="str">
        <f aca="false">IF($J104="","",$J104*Config!$B$5)</f>
        <v/>
      </c>
      <c r="L104" s="28"/>
      <c r="M104" s="27"/>
      <c r="N104" s="28"/>
      <c r="O104" s="29" t="str">
        <f aca="false">IF($M104="","",$M104*Config!$B$6)</f>
        <v/>
      </c>
      <c r="P104" s="28"/>
      <c r="Q104" s="28"/>
      <c r="R104" s="30" t="str">
        <f aca="false">IF($J104="","",$J104-$K104+SUM($L104)-SUM($N104:$Q104))</f>
        <v/>
      </c>
      <c r="S104" s="30" t="str">
        <f aca="false">IF(OR($R104="",$H104="",$H104=0),"",$R104/$H104)</f>
        <v/>
      </c>
      <c r="T104" s="29" t="str">
        <f aca="false">IF(OR($R104="",$M104="",$M104=0),"",$R104/$M104)</f>
        <v/>
      </c>
      <c r="U104" s="26" t="str">
        <f aca="false">IF(OR($H104="",$H104=0,$I104=""),"",$I104/$H104)</f>
        <v/>
      </c>
      <c r="V104" s="24"/>
    </row>
    <row r="105" customFormat="false" ht="15" hidden="false" customHeight="false" outlineLevel="0" collapsed="false">
      <c r="A105" s="21"/>
      <c r="B105" s="22" t="str">
        <f aca="false">IF($A105="","",INDEX(Config!$F$2:$F$8,WEEKDAY($A105,2)))</f>
        <v/>
      </c>
      <c r="C105" s="23" t="str">
        <f aca="false">IF($A105="","",EOMONTH($A105,0))</f>
        <v/>
      </c>
      <c r="D105" s="24"/>
      <c r="E105" s="24"/>
      <c r="F105" s="25"/>
      <c r="G105" s="25"/>
      <c r="H105" s="26" t="str">
        <f aca="false">IF(OR($F105="",$G105=""),"",($G105-$F105+IF($G105&lt;$F105,1,0))*24)</f>
        <v/>
      </c>
      <c r="I105" s="27"/>
      <c r="J105" s="28"/>
      <c r="K105" s="29" t="str">
        <f aca="false">IF($J105="","",$J105*Config!$B$5)</f>
        <v/>
      </c>
      <c r="L105" s="28"/>
      <c r="M105" s="27"/>
      <c r="N105" s="28"/>
      <c r="O105" s="29" t="str">
        <f aca="false">IF($M105="","",$M105*Config!$B$6)</f>
        <v/>
      </c>
      <c r="P105" s="28"/>
      <c r="Q105" s="28"/>
      <c r="R105" s="30" t="str">
        <f aca="false">IF($J105="","",$J105-$K105+SUM($L105)-SUM($N105:$Q105))</f>
        <v/>
      </c>
      <c r="S105" s="30" t="str">
        <f aca="false">IF(OR($R105="",$H105="",$H105=0),"",$R105/$H105)</f>
        <v/>
      </c>
      <c r="T105" s="29" t="str">
        <f aca="false">IF(OR($R105="",$M105="",$M105=0),"",$R105/$M105)</f>
        <v/>
      </c>
      <c r="U105" s="26" t="str">
        <f aca="false">IF(OR($H105="",$H105=0,$I105=""),"",$I105/$H105)</f>
        <v/>
      </c>
      <c r="V105" s="24"/>
    </row>
    <row r="106" customFormat="false" ht="15" hidden="false" customHeight="false" outlineLevel="0" collapsed="false">
      <c r="A106" s="21"/>
      <c r="B106" s="22" t="str">
        <f aca="false">IF($A106="","",INDEX(Config!$F$2:$F$8,WEEKDAY($A106,2)))</f>
        <v/>
      </c>
      <c r="C106" s="23" t="str">
        <f aca="false">IF($A106="","",EOMONTH($A106,0))</f>
        <v/>
      </c>
      <c r="D106" s="24"/>
      <c r="E106" s="24"/>
      <c r="F106" s="25"/>
      <c r="G106" s="25"/>
      <c r="H106" s="26" t="str">
        <f aca="false">IF(OR($F106="",$G106=""),"",($G106-$F106+IF($G106&lt;$F106,1,0))*24)</f>
        <v/>
      </c>
      <c r="I106" s="27"/>
      <c r="J106" s="28"/>
      <c r="K106" s="29" t="str">
        <f aca="false">IF($J106="","",$J106*Config!$B$5)</f>
        <v/>
      </c>
      <c r="L106" s="28"/>
      <c r="M106" s="27"/>
      <c r="N106" s="28"/>
      <c r="O106" s="29" t="str">
        <f aca="false">IF($M106="","",$M106*Config!$B$6)</f>
        <v/>
      </c>
      <c r="P106" s="28"/>
      <c r="Q106" s="28"/>
      <c r="R106" s="30" t="str">
        <f aca="false">IF($J106="","",$J106-$K106+SUM($L106)-SUM($N106:$Q106))</f>
        <v/>
      </c>
      <c r="S106" s="30" t="str">
        <f aca="false">IF(OR($R106="",$H106="",$H106=0),"",$R106/$H106)</f>
        <v/>
      </c>
      <c r="T106" s="29" t="str">
        <f aca="false">IF(OR($R106="",$M106="",$M106=0),"",$R106/$M106)</f>
        <v/>
      </c>
      <c r="U106" s="26" t="str">
        <f aca="false">IF(OR($H106="",$H106=0,$I106=""),"",$I106/$H106)</f>
        <v/>
      </c>
      <c r="V106" s="24"/>
    </row>
    <row r="107" customFormat="false" ht="15" hidden="false" customHeight="false" outlineLevel="0" collapsed="false">
      <c r="A107" s="21"/>
      <c r="B107" s="22" t="str">
        <f aca="false">IF($A107="","",INDEX(Config!$F$2:$F$8,WEEKDAY($A107,2)))</f>
        <v/>
      </c>
      <c r="C107" s="23" t="str">
        <f aca="false">IF($A107="","",EOMONTH($A107,0))</f>
        <v/>
      </c>
      <c r="D107" s="24"/>
      <c r="E107" s="24"/>
      <c r="F107" s="25"/>
      <c r="G107" s="25"/>
      <c r="H107" s="26" t="str">
        <f aca="false">IF(OR($F107="",$G107=""),"",($G107-$F107+IF($G107&lt;$F107,1,0))*24)</f>
        <v/>
      </c>
      <c r="I107" s="27"/>
      <c r="J107" s="28"/>
      <c r="K107" s="29" t="str">
        <f aca="false">IF($J107="","",$J107*Config!$B$5)</f>
        <v/>
      </c>
      <c r="L107" s="28"/>
      <c r="M107" s="27"/>
      <c r="N107" s="28"/>
      <c r="O107" s="29" t="str">
        <f aca="false">IF($M107="","",$M107*Config!$B$6)</f>
        <v/>
      </c>
      <c r="P107" s="28"/>
      <c r="Q107" s="28"/>
      <c r="R107" s="30" t="str">
        <f aca="false">IF($J107="","",$J107-$K107+SUM($L107)-SUM($N107:$Q107))</f>
        <v/>
      </c>
      <c r="S107" s="30" t="str">
        <f aca="false">IF(OR($R107="",$H107="",$H107=0),"",$R107/$H107)</f>
        <v/>
      </c>
      <c r="T107" s="29" t="str">
        <f aca="false">IF(OR($R107="",$M107="",$M107=0),"",$R107/$M107)</f>
        <v/>
      </c>
      <c r="U107" s="26" t="str">
        <f aca="false">IF(OR($H107="",$H107=0,$I107=""),"",$I107/$H107)</f>
        <v/>
      </c>
      <c r="V107" s="24"/>
    </row>
    <row r="108" customFormat="false" ht="15" hidden="false" customHeight="false" outlineLevel="0" collapsed="false">
      <c r="A108" s="21"/>
      <c r="B108" s="22" t="str">
        <f aca="false">IF($A108="","",INDEX(Config!$F$2:$F$8,WEEKDAY($A108,2)))</f>
        <v/>
      </c>
      <c r="C108" s="23" t="str">
        <f aca="false">IF($A108="","",EOMONTH($A108,0))</f>
        <v/>
      </c>
      <c r="D108" s="24"/>
      <c r="E108" s="24"/>
      <c r="F108" s="25"/>
      <c r="G108" s="25"/>
      <c r="H108" s="26" t="str">
        <f aca="false">IF(OR($F108="",$G108=""),"",($G108-$F108+IF($G108&lt;$F108,1,0))*24)</f>
        <v/>
      </c>
      <c r="I108" s="27"/>
      <c r="J108" s="28"/>
      <c r="K108" s="29" t="str">
        <f aca="false">IF($J108="","",$J108*Config!$B$5)</f>
        <v/>
      </c>
      <c r="L108" s="28"/>
      <c r="M108" s="27"/>
      <c r="N108" s="28"/>
      <c r="O108" s="29" t="str">
        <f aca="false">IF($M108="","",$M108*Config!$B$6)</f>
        <v/>
      </c>
      <c r="P108" s="28"/>
      <c r="Q108" s="28"/>
      <c r="R108" s="30" t="str">
        <f aca="false">IF($J108="","",$J108-$K108+SUM($L108)-SUM($N108:$Q108))</f>
        <v/>
      </c>
      <c r="S108" s="30" t="str">
        <f aca="false">IF(OR($R108="",$H108="",$H108=0),"",$R108/$H108)</f>
        <v/>
      </c>
      <c r="T108" s="29" t="str">
        <f aca="false">IF(OR($R108="",$M108="",$M108=0),"",$R108/$M108)</f>
        <v/>
      </c>
      <c r="U108" s="26" t="str">
        <f aca="false">IF(OR($H108="",$H108=0,$I108=""),"",$I108/$H108)</f>
        <v/>
      </c>
      <c r="V108" s="24"/>
    </row>
    <row r="109" customFormat="false" ht="15" hidden="false" customHeight="false" outlineLevel="0" collapsed="false">
      <c r="A109" s="21"/>
      <c r="B109" s="22" t="str">
        <f aca="false">IF($A109="","",INDEX(Config!$F$2:$F$8,WEEKDAY($A109,2)))</f>
        <v/>
      </c>
      <c r="C109" s="23" t="str">
        <f aca="false">IF($A109="","",EOMONTH($A109,0))</f>
        <v/>
      </c>
      <c r="D109" s="24"/>
      <c r="E109" s="24"/>
      <c r="F109" s="25"/>
      <c r="G109" s="25"/>
      <c r="H109" s="26" t="str">
        <f aca="false">IF(OR($F109="",$G109=""),"",($G109-$F109+IF($G109&lt;$F109,1,0))*24)</f>
        <v/>
      </c>
      <c r="I109" s="27"/>
      <c r="J109" s="28"/>
      <c r="K109" s="29" t="str">
        <f aca="false">IF($J109="","",$J109*Config!$B$5)</f>
        <v/>
      </c>
      <c r="L109" s="28"/>
      <c r="M109" s="27"/>
      <c r="N109" s="28"/>
      <c r="O109" s="29" t="str">
        <f aca="false">IF($M109="","",$M109*Config!$B$6)</f>
        <v/>
      </c>
      <c r="P109" s="28"/>
      <c r="Q109" s="28"/>
      <c r="R109" s="30" t="str">
        <f aca="false">IF($J109="","",$J109-$K109+SUM($L109)-SUM($N109:$Q109))</f>
        <v/>
      </c>
      <c r="S109" s="30" t="str">
        <f aca="false">IF(OR($R109="",$H109="",$H109=0),"",$R109/$H109)</f>
        <v/>
      </c>
      <c r="T109" s="29" t="str">
        <f aca="false">IF(OR($R109="",$M109="",$M109=0),"",$R109/$M109)</f>
        <v/>
      </c>
      <c r="U109" s="26" t="str">
        <f aca="false">IF(OR($H109="",$H109=0,$I109=""),"",$I109/$H109)</f>
        <v/>
      </c>
      <c r="V109" s="24"/>
    </row>
    <row r="110" customFormat="false" ht="15" hidden="false" customHeight="false" outlineLevel="0" collapsed="false">
      <c r="A110" s="21"/>
      <c r="B110" s="22" t="str">
        <f aca="false">IF($A110="","",INDEX(Config!$F$2:$F$8,WEEKDAY($A110,2)))</f>
        <v/>
      </c>
      <c r="C110" s="23" t="str">
        <f aca="false">IF($A110="","",EOMONTH($A110,0))</f>
        <v/>
      </c>
      <c r="D110" s="24"/>
      <c r="E110" s="24"/>
      <c r="F110" s="25"/>
      <c r="G110" s="25"/>
      <c r="H110" s="26" t="str">
        <f aca="false">IF(OR($F110="",$G110=""),"",($G110-$F110+IF($G110&lt;$F110,1,0))*24)</f>
        <v/>
      </c>
      <c r="I110" s="27"/>
      <c r="J110" s="28"/>
      <c r="K110" s="29" t="str">
        <f aca="false">IF($J110="","",$J110*Config!$B$5)</f>
        <v/>
      </c>
      <c r="L110" s="28"/>
      <c r="M110" s="27"/>
      <c r="N110" s="28"/>
      <c r="O110" s="29" t="str">
        <f aca="false">IF($M110="","",$M110*Config!$B$6)</f>
        <v/>
      </c>
      <c r="P110" s="28"/>
      <c r="Q110" s="28"/>
      <c r="R110" s="30" t="str">
        <f aca="false">IF($J110="","",$J110-$K110+SUM($L110)-SUM($N110:$Q110))</f>
        <v/>
      </c>
      <c r="S110" s="30" t="str">
        <f aca="false">IF(OR($R110="",$H110="",$H110=0),"",$R110/$H110)</f>
        <v/>
      </c>
      <c r="T110" s="29" t="str">
        <f aca="false">IF(OR($R110="",$M110="",$M110=0),"",$R110/$M110)</f>
        <v/>
      </c>
      <c r="U110" s="26" t="str">
        <f aca="false">IF(OR($H110="",$H110=0,$I110=""),"",$I110/$H110)</f>
        <v/>
      </c>
      <c r="V110" s="24"/>
    </row>
    <row r="111" customFormat="false" ht="15" hidden="false" customHeight="false" outlineLevel="0" collapsed="false">
      <c r="A111" s="21"/>
      <c r="B111" s="22" t="str">
        <f aca="false">IF($A111="","",INDEX(Config!$F$2:$F$8,WEEKDAY($A111,2)))</f>
        <v/>
      </c>
      <c r="C111" s="23" t="str">
        <f aca="false">IF($A111="","",EOMONTH($A111,0))</f>
        <v/>
      </c>
      <c r="D111" s="24"/>
      <c r="E111" s="24"/>
      <c r="F111" s="25"/>
      <c r="G111" s="25"/>
      <c r="H111" s="26" t="str">
        <f aca="false">IF(OR($F111="",$G111=""),"",($G111-$F111+IF($G111&lt;$F111,1,0))*24)</f>
        <v/>
      </c>
      <c r="I111" s="27"/>
      <c r="J111" s="28"/>
      <c r="K111" s="29" t="str">
        <f aca="false">IF($J111="","",$J111*Config!$B$5)</f>
        <v/>
      </c>
      <c r="L111" s="28"/>
      <c r="M111" s="27"/>
      <c r="N111" s="28"/>
      <c r="O111" s="29" t="str">
        <f aca="false">IF($M111="","",$M111*Config!$B$6)</f>
        <v/>
      </c>
      <c r="P111" s="28"/>
      <c r="Q111" s="28"/>
      <c r="R111" s="30" t="str">
        <f aca="false">IF($J111="","",$J111-$K111+SUM($L111)-SUM($N111:$Q111))</f>
        <v/>
      </c>
      <c r="S111" s="30" t="str">
        <f aca="false">IF(OR($R111="",$H111="",$H111=0),"",$R111/$H111)</f>
        <v/>
      </c>
      <c r="T111" s="29" t="str">
        <f aca="false">IF(OR($R111="",$M111="",$M111=0),"",$R111/$M111)</f>
        <v/>
      </c>
      <c r="U111" s="26" t="str">
        <f aca="false">IF(OR($H111="",$H111=0,$I111=""),"",$I111/$H111)</f>
        <v/>
      </c>
      <c r="V111" s="24"/>
    </row>
    <row r="112" customFormat="false" ht="15" hidden="false" customHeight="false" outlineLevel="0" collapsed="false">
      <c r="A112" s="21"/>
      <c r="B112" s="22" t="str">
        <f aca="false">IF($A112="","",INDEX(Config!$F$2:$F$8,WEEKDAY($A112,2)))</f>
        <v/>
      </c>
      <c r="C112" s="23" t="str">
        <f aca="false">IF($A112="","",EOMONTH($A112,0))</f>
        <v/>
      </c>
      <c r="D112" s="24"/>
      <c r="E112" s="24"/>
      <c r="F112" s="25"/>
      <c r="G112" s="25"/>
      <c r="H112" s="26" t="str">
        <f aca="false">IF(OR($F112="",$G112=""),"",($G112-$F112+IF($G112&lt;$F112,1,0))*24)</f>
        <v/>
      </c>
      <c r="I112" s="27"/>
      <c r="J112" s="28"/>
      <c r="K112" s="29" t="str">
        <f aca="false">IF($J112="","",$J112*Config!$B$5)</f>
        <v/>
      </c>
      <c r="L112" s="28"/>
      <c r="M112" s="27"/>
      <c r="N112" s="28"/>
      <c r="O112" s="29" t="str">
        <f aca="false">IF($M112="","",$M112*Config!$B$6)</f>
        <v/>
      </c>
      <c r="P112" s="28"/>
      <c r="Q112" s="28"/>
      <c r="R112" s="30" t="str">
        <f aca="false">IF($J112="","",$J112-$K112+SUM($L112)-SUM($N112:$Q112))</f>
        <v/>
      </c>
      <c r="S112" s="30" t="str">
        <f aca="false">IF(OR($R112="",$H112="",$H112=0),"",$R112/$H112)</f>
        <v/>
      </c>
      <c r="T112" s="29" t="str">
        <f aca="false">IF(OR($R112="",$M112="",$M112=0),"",$R112/$M112)</f>
        <v/>
      </c>
      <c r="U112" s="26" t="str">
        <f aca="false">IF(OR($H112="",$H112=0,$I112=""),"",$I112/$H112)</f>
        <v/>
      </c>
      <c r="V112" s="24"/>
    </row>
    <row r="113" customFormat="false" ht="15" hidden="false" customHeight="false" outlineLevel="0" collapsed="false">
      <c r="A113" s="21"/>
      <c r="B113" s="22" t="str">
        <f aca="false">IF($A113="","",INDEX(Config!$F$2:$F$8,WEEKDAY($A113,2)))</f>
        <v/>
      </c>
      <c r="C113" s="23" t="str">
        <f aca="false">IF($A113="","",EOMONTH($A113,0))</f>
        <v/>
      </c>
      <c r="D113" s="24"/>
      <c r="E113" s="24"/>
      <c r="F113" s="25"/>
      <c r="G113" s="25"/>
      <c r="H113" s="26" t="str">
        <f aca="false">IF(OR($F113="",$G113=""),"",($G113-$F113+IF($G113&lt;$F113,1,0))*24)</f>
        <v/>
      </c>
      <c r="I113" s="27"/>
      <c r="J113" s="28"/>
      <c r="K113" s="29" t="str">
        <f aca="false">IF($J113="","",$J113*Config!$B$5)</f>
        <v/>
      </c>
      <c r="L113" s="28"/>
      <c r="M113" s="27"/>
      <c r="N113" s="28"/>
      <c r="O113" s="29" t="str">
        <f aca="false">IF($M113="","",$M113*Config!$B$6)</f>
        <v/>
      </c>
      <c r="P113" s="28"/>
      <c r="Q113" s="28"/>
      <c r="R113" s="30" t="str">
        <f aca="false">IF($J113="","",$J113-$K113+SUM($L113)-SUM($N113:$Q113))</f>
        <v/>
      </c>
      <c r="S113" s="30" t="str">
        <f aca="false">IF(OR($R113="",$H113="",$H113=0),"",$R113/$H113)</f>
        <v/>
      </c>
      <c r="T113" s="29" t="str">
        <f aca="false">IF(OR($R113="",$M113="",$M113=0),"",$R113/$M113)</f>
        <v/>
      </c>
      <c r="U113" s="26" t="str">
        <f aca="false">IF(OR($H113="",$H113=0,$I113=""),"",$I113/$H113)</f>
        <v/>
      </c>
      <c r="V113" s="24"/>
    </row>
    <row r="114" customFormat="false" ht="15" hidden="false" customHeight="false" outlineLevel="0" collapsed="false">
      <c r="A114" s="21"/>
      <c r="B114" s="22" t="str">
        <f aca="false">IF($A114="","",INDEX(Config!$F$2:$F$8,WEEKDAY($A114,2)))</f>
        <v/>
      </c>
      <c r="C114" s="23" t="str">
        <f aca="false">IF($A114="","",EOMONTH($A114,0))</f>
        <v/>
      </c>
      <c r="D114" s="24"/>
      <c r="E114" s="24"/>
      <c r="F114" s="25"/>
      <c r="G114" s="25"/>
      <c r="H114" s="26" t="str">
        <f aca="false">IF(OR($F114="",$G114=""),"",($G114-$F114+IF($G114&lt;$F114,1,0))*24)</f>
        <v/>
      </c>
      <c r="I114" s="27"/>
      <c r="J114" s="28"/>
      <c r="K114" s="29" t="str">
        <f aca="false">IF($J114="","",$J114*Config!$B$5)</f>
        <v/>
      </c>
      <c r="L114" s="28"/>
      <c r="M114" s="27"/>
      <c r="N114" s="28"/>
      <c r="O114" s="29" t="str">
        <f aca="false">IF($M114="","",$M114*Config!$B$6)</f>
        <v/>
      </c>
      <c r="P114" s="28"/>
      <c r="Q114" s="28"/>
      <c r="R114" s="30" t="str">
        <f aca="false">IF($J114="","",$J114-$K114+SUM($L114)-SUM($N114:$Q114))</f>
        <v/>
      </c>
      <c r="S114" s="30" t="str">
        <f aca="false">IF(OR($R114="",$H114="",$H114=0),"",$R114/$H114)</f>
        <v/>
      </c>
      <c r="T114" s="29" t="str">
        <f aca="false">IF(OR($R114="",$M114="",$M114=0),"",$R114/$M114)</f>
        <v/>
      </c>
      <c r="U114" s="26" t="str">
        <f aca="false">IF(OR($H114="",$H114=0,$I114=""),"",$I114/$H114)</f>
        <v/>
      </c>
      <c r="V114" s="24"/>
    </row>
    <row r="115" customFormat="false" ht="15" hidden="false" customHeight="false" outlineLevel="0" collapsed="false">
      <c r="A115" s="21"/>
      <c r="B115" s="22" t="str">
        <f aca="false">IF($A115="","",INDEX(Config!$F$2:$F$8,WEEKDAY($A115,2)))</f>
        <v/>
      </c>
      <c r="C115" s="23" t="str">
        <f aca="false">IF($A115="","",EOMONTH($A115,0))</f>
        <v/>
      </c>
      <c r="D115" s="24"/>
      <c r="E115" s="24"/>
      <c r="F115" s="25"/>
      <c r="G115" s="25"/>
      <c r="H115" s="26" t="str">
        <f aca="false">IF(OR($F115="",$G115=""),"",($G115-$F115+IF($G115&lt;$F115,1,0))*24)</f>
        <v/>
      </c>
      <c r="I115" s="27"/>
      <c r="J115" s="28"/>
      <c r="K115" s="29" t="str">
        <f aca="false">IF($J115="","",$J115*Config!$B$5)</f>
        <v/>
      </c>
      <c r="L115" s="28"/>
      <c r="M115" s="27"/>
      <c r="N115" s="28"/>
      <c r="O115" s="29" t="str">
        <f aca="false">IF($M115="","",$M115*Config!$B$6)</f>
        <v/>
      </c>
      <c r="P115" s="28"/>
      <c r="Q115" s="28"/>
      <c r="R115" s="30" t="str">
        <f aca="false">IF($J115="","",$J115-$K115+SUM($L115)-SUM($N115:$Q115))</f>
        <v/>
      </c>
      <c r="S115" s="30" t="str">
        <f aca="false">IF(OR($R115="",$H115="",$H115=0),"",$R115/$H115)</f>
        <v/>
      </c>
      <c r="T115" s="29" t="str">
        <f aca="false">IF(OR($R115="",$M115="",$M115=0),"",$R115/$M115)</f>
        <v/>
      </c>
      <c r="U115" s="26" t="str">
        <f aca="false">IF(OR($H115="",$H115=0,$I115=""),"",$I115/$H115)</f>
        <v/>
      </c>
      <c r="V115" s="24"/>
    </row>
    <row r="116" customFormat="false" ht="15" hidden="false" customHeight="false" outlineLevel="0" collapsed="false">
      <c r="A116" s="21"/>
      <c r="B116" s="22" t="str">
        <f aca="false">IF($A116="","",INDEX(Config!$F$2:$F$8,WEEKDAY($A116,2)))</f>
        <v/>
      </c>
      <c r="C116" s="23" t="str">
        <f aca="false">IF($A116="","",EOMONTH($A116,0))</f>
        <v/>
      </c>
      <c r="D116" s="24"/>
      <c r="E116" s="24"/>
      <c r="F116" s="25"/>
      <c r="G116" s="25"/>
      <c r="H116" s="26" t="str">
        <f aca="false">IF(OR($F116="",$G116=""),"",($G116-$F116+IF($G116&lt;$F116,1,0))*24)</f>
        <v/>
      </c>
      <c r="I116" s="27"/>
      <c r="J116" s="28"/>
      <c r="K116" s="29" t="str">
        <f aca="false">IF($J116="","",$J116*Config!$B$5)</f>
        <v/>
      </c>
      <c r="L116" s="28"/>
      <c r="M116" s="27"/>
      <c r="N116" s="28"/>
      <c r="O116" s="29" t="str">
        <f aca="false">IF($M116="","",$M116*Config!$B$6)</f>
        <v/>
      </c>
      <c r="P116" s="28"/>
      <c r="Q116" s="28"/>
      <c r="R116" s="30" t="str">
        <f aca="false">IF($J116="","",$J116-$K116+SUM($L116)-SUM($N116:$Q116))</f>
        <v/>
      </c>
      <c r="S116" s="30" t="str">
        <f aca="false">IF(OR($R116="",$H116="",$H116=0),"",$R116/$H116)</f>
        <v/>
      </c>
      <c r="T116" s="29" t="str">
        <f aca="false">IF(OR($R116="",$M116="",$M116=0),"",$R116/$M116)</f>
        <v/>
      </c>
      <c r="U116" s="26" t="str">
        <f aca="false">IF(OR($H116="",$H116=0,$I116=""),"",$I116/$H116)</f>
        <v/>
      </c>
      <c r="V116" s="24"/>
    </row>
    <row r="117" customFormat="false" ht="15" hidden="false" customHeight="false" outlineLevel="0" collapsed="false">
      <c r="A117" s="21"/>
      <c r="B117" s="22" t="str">
        <f aca="false">IF($A117="","",INDEX(Config!$F$2:$F$8,WEEKDAY($A117,2)))</f>
        <v/>
      </c>
      <c r="C117" s="23" t="str">
        <f aca="false">IF($A117="","",EOMONTH($A117,0))</f>
        <v/>
      </c>
      <c r="D117" s="24"/>
      <c r="E117" s="24"/>
      <c r="F117" s="25"/>
      <c r="G117" s="25"/>
      <c r="H117" s="26" t="str">
        <f aca="false">IF(OR($F117="",$G117=""),"",($G117-$F117+IF($G117&lt;$F117,1,0))*24)</f>
        <v/>
      </c>
      <c r="I117" s="27"/>
      <c r="J117" s="28"/>
      <c r="K117" s="29" t="str">
        <f aca="false">IF($J117="","",$J117*Config!$B$5)</f>
        <v/>
      </c>
      <c r="L117" s="28"/>
      <c r="M117" s="27"/>
      <c r="N117" s="28"/>
      <c r="O117" s="29" t="str">
        <f aca="false">IF($M117="","",$M117*Config!$B$6)</f>
        <v/>
      </c>
      <c r="P117" s="28"/>
      <c r="Q117" s="28"/>
      <c r="R117" s="30" t="str">
        <f aca="false">IF($J117="","",$J117-$K117+SUM($L117)-SUM($N117:$Q117))</f>
        <v/>
      </c>
      <c r="S117" s="30" t="str">
        <f aca="false">IF(OR($R117="",$H117="",$H117=0),"",$R117/$H117)</f>
        <v/>
      </c>
      <c r="T117" s="29" t="str">
        <f aca="false">IF(OR($R117="",$M117="",$M117=0),"",$R117/$M117)</f>
        <v/>
      </c>
      <c r="U117" s="26" t="str">
        <f aca="false">IF(OR($H117="",$H117=0,$I117=""),"",$I117/$H117)</f>
        <v/>
      </c>
      <c r="V117" s="24"/>
    </row>
    <row r="118" customFormat="false" ht="15" hidden="false" customHeight="false" outlineLevel="0" collapsed="false">
      <c r="A118" s="21"/>
      <c r="B118" s="22" t="str">
        <f aca="false">IF($A118="","",INDEX(Config!$F$2:$F$8,WEEKDAY($A118,2)))</f>
        <v/>
      </c>
      <c r="C118" s="23" t="str">
        <f aca="false">IF($A118="","",EOMONTH($A118,0))</f>
        <v/>
      </c>
      <c r="D118" s="24"/>
      <c r="E118" s="24"/>
      <c r="F118" s="25"/>
      <c r="G118" s="25"/>
      <c r="H118" s="26" t="str">
        <f aca="false">IF(OR($F118="",$G118=""),"",($G118-$F118+IF($G118&lt;$F118,1,0))*24)</f>
        <v/>
      </c>
      <c r="I118" s="27"/>
      <c r="J118" s="28"/>
      <c r="K118" s="29" t="str">
        <f aca="false">IF($J118="","",$J118*Config!$B$5)</f>
        <v/>
      </c>
      <c r="L118" s="28"/>
      <c r="M118" s="27"/>
      <c r="N118" s="28"/>
      <c r="O118" s="29" t="str">
        <f aca="false">IF($M118="","",$M118*Config!$B$6)</f>
        <v/>
      </c>
      <c r="P118" s="28"/>
      <c r="Q118" s="28"/>
      <c r="R118" s="30" t="str">
        <f aca="false">IF($J118="","",$J118-$K118+SUM($L118)-SUM($N118:$Q118))</f>
        <v/>
      </c>
      <c r="S118" s="30" t="str">
        <f aca="false">IF(OR($R118="",$H118="",$H118=0),"",$R118/$H118)</f>
        <v/>
      </c>
      <c r="T118" s="29" t="str">
        <f aca="false">IF(OR($R118="",$M118="",$M118=0),"",$R118/$M118)</f>
        <v/>
      </c>
      <c r="U118" s="26" t="str">
        <f aca="false">IF(OR($H118="",$H118=0,$I118=""),"",$I118/$H118)</f>
        <v/>
      </c>
      <c r="V118" s="24"/>
    </row>
    <row r="119" customFormat="false" ht="15" hidden="false" customHeight="false" outlineLevel="0" collapsed="false">
      <c r="A119" s="21"/>
      <c r="B119" s="22" t="str">
        <f aca="false">IF($A119="","",INDEX(Config!$F$2:$F$8,WEEKDAY($A119,2)))</f>
        <v/>
      </c>
      <c r="C119" s="23" t="str">
        <f aca="false">IF($A119="","",EOMONTH($A119,0))</f>
        <v/>
      </c>
      <c r="D119" s="24"/>
      <c r="E119" s="24"/>
      <c r="F119" s="25"/>
      <c r="G119" s="25"/>
      <c r="H119" s="26" t="str">
        <f aca="false">IF(OR($F119="",$G119=""),"",($G119-$F119+IF($G119&lt;$F119,1,0))*24)</f>
        <v/>
      </c>
      <c r="I119" s="27"/>
      <c r="J119" s="28"/>
      <c r="K119" s="29" t="str">
        <f aca="false">IF($J119="","",$J119*Config!$B$5)</f>
        <v/>
      </c>
      <c r="L119" s="28"/>
      <c r="M119" s="27"/>
      <c r="N119" s="28"/>
      <c r="O119" s="29" t="str">
        <f aca="false">IF($M119="","",$M119*Config!$B$6)</f>
        <v/>
      </c>
      <c r="P119" s="28"/>
      <c r="Q119" s="28"/>
      <c r="R119" s="30" t="str">
        <f aca="false">IF($J119="","",$J119-$K119+SUM($L119)-SUM($N119:$Q119))</f>
        <v/>
      </c>
      <c r="S119" s="30" t="str">
        <f aca="false">IF(OR($R119="",$H119="",$H119=0),"",$R119/$H119)</f>
        <v/>
      </c>
      <c r="T119" s="29" t="str">
        <f aca="false">IF(OR($R119="",$M119="",$M119=0),"",$R119/$M119)</f>
        <v/>
      </c>
      <c r="U119" s="26" t="str">
        <f aca="false">IF(OR($H119="",$H119=0,$I119=""),"",$I119/$H119)</f>
        <v/>
      </c>
      <c r="V119" s="24"/>
    </row>
    <row r="120" customFormat="false" ht="15" hidden="false" customHeight="false" outlineLevel="0" collapsed="false">
      <c r="A120" s="21"/>
      <c r="B120" s="22" t="str">
        <f aca="false">IF($A120="","",INDEX(Config!$F$2:$F$8,WEEKDAY($A120,2)))</f>
        <v/>
      </c>
      <c r="C120" s="23" t="str">
        <f aca="false">IF($A120="","",EOMONTH($A120,0))</f>
        <v/>
      </c>
      <c r="D120" s="24"/>
      <c r="E120" s="24"/>
      <c r="F120" s="25"/>
      <c r="G120" s="25"/>
      <c r="H120" s="26" t="str">
        <f aca="false">IF(OR($F120="",$G120=""),"",($G120-$F120+IF($G120&lt;$F120,1,0))*24)</f>
        <v/>
      </c>
      <c r="I120" s="27"/>
      <c r="J120" s="28"/>
      <c r="K120" s="29" t="str">
        <f aca="false">IF($J120="","",$J120*Config!$B$5)</f>
        <v/>
      </c>
      <c r="L120" s="28"/>
      <c r="M120" s="27"/>
      <c r="N120" s="28"/>
      <c r="O120" s="29" t="str">
        <f aca="false">IF($M120="","",$M120*Config!$B$6)</f>
        <v/>
      </c>
      <c r="P120" s="28"/>
      <c r="Q120" s="28"/>
      <c r="R120" s="30" t="str">
        <f aca="false">IF($J120="","",$J120-$K120+SUM($L120)-SUM($N120:$Q120))</f>
        <v/>
      </c>
      <c r="S120" s="30" t="str">
        <f aca="false">IF(OR($R120="",$H120="",$H120=0),"",$R120/$H120)</f>
        <v/>
      </c>
      <c r="T120" s="29" t="str">
        <f aca="false">IF(OR($R120="",$M120="",$M120=0),"",$R120/$M120)</f>
        <v/>
      </c>
      <c r="U120" s="26" t="str">
        <f aca="false">IF(OR($H120="",$H120=0,$I120=""),"",$I120/$H120)</f>
        <v/>
      </c>
      <c r="V120" s="24"/>
    </row>
    <row r="121" customFormat="false" ht="15" hidden="false" customHeight="false" outlineLevel="0" collapsed="false">
      <c r="A121" s="21"/>
      <c r="B121" s="22" t="str">
        <f aca="false">IF($A121="","",INDEX(Config!$F$2:$F$8,WEEKDAY($A121,2)))</f>
        <v/>
      </c>
      <c r="C121" s="23" t="str">
        <f aca="false">IF($A121="","",EOMONTH($A121,0))</f>
        <v/>
      </c>
      <c r="D121" s="24"/>
      <c r="E121" s="24"/>
      <c r="F121" s="25"/>
      <c r="G121" s="25"/>
      <c r="H121" s="26" t="str">
        <f aca="false">IF(OR($F121="",$G121=""),"",($G121-$F121+IF($G121&lt;$F121,1,0))*24)</f>
        <v/>
      </c>
      <c r="I121" s="27"/>
      <c r="J121" s="28"/>
      <c r="K121" s="29" t="str">
        <f aca="false">IF($J121="","",$J121*Config!$B$5)</f>
        <v/>
      </c>
      <c r="L121" s="28"/>
      <c r="M121" s="27"/>
      <c r="N121" s="28"/>
      <c r="O121" s="29" t="str">
        <f aca="false">IF($M121="","",$M121*Config!$B$6)</f>
        <v/>
      </c>
      <c r="P121" s="28"/>
      <c r="Q121" s="28"/>
      <c r="R121" s="30" t="str">
        <f aca="false">IF($J121="","",$J121-$K121+SUM($L121)-SUM($N121:$Q121))</f>
        <v/>
      </c>
      <c r="S121" s="30" t="str">
        <f aca="false">IF(OR($R121="",$H121="",$H121=0),"",$R121/$H121)</f>
        <v/>
      </c>
      <c r="T121" s="29" t="str">
        <f aca="false">IF(OR($R121="",$M121="",$M121=0),"",$R121/$M121)</f>
        <v/>
      </c>
      <c r="U121" s="26" t="str">
        <f aca="false">IF(OR($H121="",$H121=0,$I121=""),"",$I121/$H121)</f>
        <v/>
      </c>
      <c r="V121" s="24"/>
    </row>
    <row r="122" customFormat="false" ht="15" hidden="false" customHeight="false" outlineLevel="0" collapsed="false">
      <c r="A122" s="21"/>
      <c r="B122" s="22" t="str">
        <f aca="false">IF($A122="","",INDEX(Config!$F$2:$F$8,WEEKDAY($A122,2)))</f>
        <v/>
      </c>
      <c r="C122" s="23" t="str">
        <f aca="false">IF($A122="","",EOMONTH($A122,0))</f>
        <v/>
      </c>
      <c r="D122" s="24"/>
      <c r="E122" s="24"/>
      <c r="F122" s="25"/>
      <c r="G122" s="25"/>
      <c r="H122" s="26" t="str">
        <f aca="false">IF(OR($F122="",$G122=""),"",($G122-$F122+IF($G122&lt;$F122,1,0))*24)</f>
        <v/>
      </c>
      <c r="I122" s="27"/>
      <c r="J122" s="28"/>
      <c r="K122" s="29" t="str">
        <f aca="false">IF($J122="","",$J122*Config!$B$5)</f>
        <v/>
      </c>
      <c r="L122" s="28"/>
      <c r="M122" s="27"/>
      <c r="N122" s="28"/>
      <c r="O122" s="29" t="str">
        <f aca="false">IF($M122="","",$M122*Config!$B$6)</f>
        <v/>
      </c>
      <c r="P122" s="28"/>
      <c r="Q122" s="28"/>
      <c r="R122" s="30" t="str">
        <f aca="false">IF($J122="","",$J122-$K122+SUM($L122)-SUM($N122:$Q122))</f>
        <v/>
      </c>
      <c r="S122" s="30" t="str">
        <f aca="false">IF(OR($R122="",$H122="",$H122=0),"",$R122/$H122)</f>
        <v/>
      </c>
      <c r="T122" s="29" t="str">
        <f aca="false">IF(OR($R122="",$M122="",$M122=0),"",$R122/$M122)</f>
        <v/>
      </c>
      <c r="U122" s="26" t="str">
        <f aca="false">IF(OR($H122="",$H122=0,$I122=""),"",$I122/$H122)</f>
        <v/>
      </c>
      <c r="V122" s="24"/>
    </row>
    <row r="123" customFormat="false" ht="15" hidden="false" customHeight="false" outlineLevel="0" collapsed="false">
      <c r="A123" s="21"/>
      <c r="B123" s="22" t="str">
        <f aca="false">IF($A123="","",INDEX(Config!$F$2:$F$8,WEEKDAY($A123,2)))</f>
        <v/>
      </c>
      <c r="C123" s="23" t="str">
        <f aca="false">IF($A123="","",EOMONTH($A123,0))</f>
        <v/>
      </c>
      <c r="D123" s="24"/>
      <c r="E123" s="24"/>
      <c r="F123" s="25"/>
      <c r="G123" s="25"/>
      <c r="H123" s="26" t="str">
        <f aca="false">IF(OR($F123="",$G123=""),"",($G123-$F123+IF($G123&lt;$F123,1,0))*24)</f>
        <v/>
      </c>
      <c r="I123" s="27"/>
      <c r="J123" s="28"/>
      <c r="K123" s="29" t="str">
        <f aca="false">IF($J123="","",$J123*Config!$B$5)</f>
        <v/>
      </c>
      <c r="L123" s="28"/>
      <c r="M123" s="27"/>
      <c r="N123" s="28"/>
      <c r="O123" s="29" t="str">
        <f aca="false">IF($M123="","",$M123*Config!$B$6)</f>
        <v/>
      </c>
      <c r="P123" s="28"/>
      <c r="Q123" s="28"/>
      <c r="R123" s="30" t="str">
        <f aca="false">IF($J123="","",$J123-$K123+SUM($L123)-SUM($N123:$Q123))</f>
        <v/>
      </c>
      <c r="S123" s="30" t="str">
        <f aca="false">IF(OR($R123="",$H123="",$H123=0),"",$R123/$H123)</f>
        <v/>
      </c>
      <c r="T123" s="29" t="str">
        <f aca="false">IF(OR($R123="",$M123="",$M123=0),"",$R123/$M123)</f>
        <v/>
      </c>
      <c r="U123" s="26" t="str">
        <f aca="false">IF(OR($H123="",$H123=0,$I123=""),"",$I123/$H123)</f>
        <v/>
      </c>
      <c r="V123" s="24"/>
    </row>
    <row r="124" customFormat="false" ht="15" hidden="false" customHeight="false" outlineLevel="0" collapsed="false">
      <c r="A124" s="21"/>
      <c r="B124" s="22" t="str">
        <f aca="false">IF($A124="","",INDEX(Config!$F$2:$F$8,WEEKDAY($A124,2)))</f>
        <v/>
      </c>
      <c r="C124" s="23" t="str">
        <f aca="false">IF($A124="","",EOMONTH($A124,0))</f>
        <v/>
      </c>
      <c r="D124" s="24"/>
      <c r="E124" s="24"/>
      <c r="F124" s="25"/>
      <c r="G124" s="25"/>
      <c r="H124" s="26" t="str">
        <f aca="false">IF(OR($F124="",$G124=""),"",($G124-$F124+IF($G124&lt;$F124,1,0))*24)</f>
        <v/>
      </c>
      <c r="I124" s="27"/>
      <c r="J124" s="28"/>
      <c r="K124" s="29" t="str">
        <f aca="false">IF($J124="","",$J124*Config!$B$5)</f>
        <v/>
      </c>
      <c r="L124" s="28"/>
      <c r="M124" s="27"/>
      <c r="N124" s="28"/>
      <c r="O124" s="29" t="str">
        <f aca="false">IF($M124="","",$M124*Config!$B$6)</f>
        <v/>
      </c>
      <c r="P124" s="28"/>
      <c r="Q124" s="28"/>
      <c r="R124" s="30" t="str">
        <f aca="false">IF($J124="","",$J124-$K124+SUM($L124)-SUM($N124:$Q124))</f>
        <v/>
      </c>
      <c r="S124" s="30" t="str">
        <f aca="false">IF(OR($R124="",$H124="",$H124=0),"",$R124/$H124)</f>
        <v/>
      </c>
      <c r="T124" s="29" t="str">
        <f aca="false">IF(OR($R124="",$M124="",$M124=0),"",$R124/$M124)</f>
        <v/>
      </c>
      <c r="U124" s="26" t="str">
        <f aca="false">IF(OR($H124="",$H124=0,$I124=""),"",$I124/$H124)</f>
        <v/>
      </c>
      <c r="V124" s="24"/>
    </row>
    <row r="125" customFormat="false" ht="15" hidden="false" customHeight="false" outlineLevel="0" collapsed="false">
      <c r="A125" s="21"/>
      <c r="B125" s="22" t="str">
        <f aca="false">IF($A125="","",INDEX(Config!$F$2:$F$8,WEEKDAY($A125,2)))</f>
        <v/>
      </c>
      <c r="C125" s="23" t="str">
        <f aca="false">IF($A125="","",EOMONTH($A125,0))</f>
        <v/>
      </c>
      <c r="D125" s="24"/>
      <c r="E125" s="24"/>
      <c r="F125" s="25"/>
      <c r="G125" s="25"/>
      <c r="H125" s="26" t="str">
        <f aca="false">IF(OR($F125="",$G125=""),"",($G125-$F125+IF($G125&lt;$F125,1,0))*24)</f>
        <v/>
      </c>
      <c r="I125" s="27"/>
      <c r="J125" s="28"/>
      <c r="K125" s="29" t="str">
        <f aca="false">IF($J125="","",$J125*Config!$B$5)</f>
        <v/>
      </c>
      <c r="L125" s="28"/>
      <c r="M125" s="27"/>
      <c r="N125" s="28"/>
      <c r="O125" s="29" t="str">
        <f aca="false">IF($M125="","",$M125*Config!$B$6)</f>
        <v/>
      </c>
      <c r="P125" s="28"/>
      <c r="Q125" s="28"/>
      <c r="R125" s="30" t="str">
        <f aca="false">IF($J125="","",$J125-$K125+SUM($L125)-SUM($N125:$Q125))</f>
        <v/>
      </c>
      <c r="S125" s="30" t="str">
        <f aca="false">IF(OR($R125="",$H125="",$H125=0),"",$R125/$H125)</f>
        <v/>
      </c>
      <c r="T125" s="29" t="str">
        <f aca="false">IF(OR($R125="",$M125="",$M125=0),"",$R125/$M125)</f>
        <v/>
      </c>
      <c r="U125" s="26" t="str">
        <f aca="false">IF(OR($H125="",$H125=0,$I125=""),"",$I125/$H125)</f>
        <v/>
      </c>
      <c r="V125" s="24"/>
    </row>
    <row r="126" customFormat="false" ht="15" hidden="false" customHeight="false" outlineLevel="0" collapsed="false">
      <c r="A126" s="21"/>
      <c r="B126" s="22" t="str">
        <f aca="false">IF($A126="","",INDEX(Config!$F$2:$F$8,WEEKDAY($A126,2)))</f>
        <v/>
      </c>
      <c r="C126" s="23" t="str">
        <f aca="false">IF($A126="","",EOMONTH($A126,0))</f>
        <v/>
      </c>
      <c r="D126" s="24"/>
      <c r="E126" s="24"/>
      <c r="F126" s="25"/>
      <c r="G126" s="25"/>
      <c r="H126" s="26" t="str">
        <f aca="false">IF(OR($F126="",$G126=""),"",($G126-$F126+IF($G126&lt;$F126,1,0))*24)</f>
        <v/>
      </c>
      <c r="I126" s="27"/>
      <c r="J126" s="28"/>
      <c r="K126" s="29" t="str">
        <f aca="false">IF($J126="","",$J126*Config!$B$5)</f>
        <v/>
      </c>
      <c r="L126" s="28"/>
      <c r="M126" s="27"/>
      <c r="N126" s="28"/>
      <c r="O126" s="29" t="str">
        <f aca="false">IF($M126="","",$M126*Config!$B$6)</f>
        <v/>
      </c>
      <c r="P126" s="28"/>
      <c r="Q126" s="28"/>
      <c r="R126" s="30" t="str">
        <f aca="false">IF($J126="","",$J126-$K126+SUM($L126)-SUM($N126:$Q126))</f>
        <v/>
      </c>
      <c r="S126" s="30" t="str">
        <f aca="false">IF(OR($R126="",$H126="",$H126=0),"",$R126/$H126)</f>
        <v/>
      </c>
      <c r="T126" s="29" t="str">
        <f aca="false">IF(OR($R126="",$M126="",$M126=0),"",$R126/$M126)</f>
        <v/>
      </c>
      <c r="U126" s="26" t="str">
        <f aca="false">IF(OR($H126="",$H126=0,$I126=""),"",$I126/$H126)</f>
        <v/>
      </c>
      <c r="V126" s="24"/>
    </row>
    <row r="127" customFormat="false" ht="15" hidden="false" customHeight="false" outlineLevel="0" collapsed="false">
      <c r="A127" s="21"/>
      <c r="B127" s="22" t="str">
        <f aca="false">IF($A127="","",INDEX(Config!$F$2:$F$8,WEEKDAY($A127,2)))</f>
        <v/>
      </c>
      <c r="C127" s="23" t="str">
        <f aca="false">IF($A127="","",EOMONTH($A127,0))</f>
        <v/>
      </c>
      <c r="D127" s="24"/>
      <c r="E127" s="24"/>
      <c r="F127" s="25"/>
      <c r="G127" s="25"/>
      <c r="H127" s="26" t="str">
        <f aca="false">IF(OR($F127="",$G127=""),"",($G127-$F127+IF($G127&lt;$F127,1,0))*24)</f>
        <v/>
      </c>
      <c r="I127" s="27"/>
      <c r="J127" s="28"/>
      <c r="K127" s="29" t="str">
        <f aca="false">IF($J127="","",$J127*Config!$B$5)</f>
        <v/>
      </c>
      <c r="L127" s="28"/>
      <c r="M127" s="27"/>
      <c r="N127" s="28"/>
      <c r="O127" s="29" t="str">
        <f aca="false">IF($M127="","",$M127*Config!$B$6)</f>
        <v/>
      </c>
      <c r="P127" s="28"/>
      <c r="Q127" s="28"/>
      <c r="R127" s="30" t="str">
        <f aca="false">IF($J127="","",$J127-$K127+SUM($L127)-SUM($N127:$Q127))</f>
        <v/>
      </c>
      <c r="S127" s="30" t="str">
        <f aca="false">IF(OR($R127="",$H127="",$H127=0),"",$R127/$H127)</f>
        <v/>
      </c>
      <c r="T127" s="29" t="str">
        <f aca="false">IF(OR($R127="",$M127="",$M127=0),"",$R127/$M127)</f>
        <v/>
      </c>
      <c r="U127" s="26" t="str">
        <f aca="false">IF(OR($H127="",$H127=0,$I127=""),"",$I127/$H127)</f>
        <v/>
      </c>
      <c r="V127" s="24"/>
    </row>
    <row r="128" customFormat="false" ht="15" hidden="false" customHeight="false" outlineLevel="0" collapsed="false">
      <c r="A128" s="21"/>
      <c r="B128" s="22" t="str">
        <f aca="false">IF($A128="","",INDEX(Config!$F$2:$F$8,WEEKDAY($A128,2)))</f>
        <v/>
      </c>
      <c r="C128" s="23" t="str">
        <f aca="false">IF($A128="","",EOMONTH($A128,0))</f>
        <v/>
      </c>
      <c r="D128" s="24"/>
      <c r="E128" s="24"/>
      <c r="F128" s="25"/>
      <c r="G128" s="25"/>
      <c r="H128" s="26" t="str">
        <f aca="false">IF(OR($F128="",$G128=""),"",($G128-$F128+IF($G128&lt;$F128,1,0))*24)</f>
        <v/>
      </c>
      <c r="I128" s="27"/>
      <c r="J128" s="28"/>
      <c r="K128" s="29" t="str">
        <f aca="false">IF($J128="","",$J128*Config!$B$5)</f>
        <v/>
      </c>
      <c r="L128" s="28"/>
      <c r="M128" s="27"/>
      <c r="N128" s="28"/>
      <c r="O128" s="29" t="str">
        <f aca="false">IF($M128="","",$M128*Config!$B$6)</f>
        <v/>
      </c>
      <c r="P128" s="28"/>
      <c r="Q128" s="28"/>
      <c r="R128" s="30" t="str">
        <f aca="false">IF($J128="","",$J128-$K128+SUM($L128)-SUM($N128:$Q128))</f>
        <v/>
      </c>
      <c r="S128" s="30" t="str">
        <f aca="false">IF(OR($R128="",$H128="",$H128=0),"",$R128/$H128)</f>
        <v/>
      </c>
      <c r="T128" s="29" t="str">
        <f aca="false">IF(OR($R128="",$M128="",$M128=0),"",$R128/$M128)</f>
        <v/>
      </c>
      <c r="U128" s="26" t="str">
        <f aca="false">IF(OR($H128="",$H128=0,$I128=""),"",$I128/$H128)</f>
        <v/>
      </c>
      <c r="V128" s="24"/>
    </row>
    <row r="129" customFormat="false" ht="15" hidden="false" customHeight="false" outlineLevel="0" collapsed="false">
      <c r="A129" s="21"/>
      <c r="B129" s="22" t="str">
        <f aca="false">IF($A129="","",INDEX(Config!$F$2:$F$8,WEEKDAY($A129,2)))</f>
        <v/>
      </c>
      <c r="C129" s="23" t="str">
        <f aca="false">IF($A129="","",EOMONTH($A129,0))</f>
        <v/>
      </c>
      <c r="D129" s="24"/>
      <c r="E129" s="24"/>
      <c r="F129" s="25"/>
      <c r="G129" s="25"/>
      <c r="H129" s="26" t="str">
        <f aca="false">IF(OR($F129="",$G129=""),"",($G129-$F129+IF($G129&lt;$F129,1,0))*24)</f>
        <v/>
      </c>
      <c r="I129" s="27"/>
      <c r="J129" s="28"/>
      <c r="K129" s="29" t="str">
        <f aca="false">IF($J129="","",$J129*Config!$B$5)</f>
        <v/>
      </c>
      <c r="L129" s="28"/>
      <c r="M129" s="27"/>
      <c r="N129" s="28"/>
      <c r="O129" s="29" t="str">
        <f aca="false">IF($M129="","",$M129*Config!$B$6)</f>
        <v/>
      </c>
      <c r="P129" s="28"/>
      <c r="Q129" s="28"/>
      <c r="R129" s="30" t="str">
        <f aca="false">IF($J129="","",$J129-$K129+SUM($L129)-SUM($N129:$Q129))</f>
        <v/>
      </c>
      <c r="S129" s="30" t="str">
        <f aca="false">IF(OR($R129="",$H129="",$H129=0),"",$R129/$H129)</f>
        <v/>
      </c>
      <c r="T129" s="29" t="str">
        <f aca="false">IF(OR($R129="",$M129="",$M129=0),"",$R129/$M129)</f>
        <v/>
      </c>
      <c r="U129" s="26" t="str">
        <f aca="false">IF(OR($H129="",$H129=0,$I129=""),"",$I129/$H129)</f>
        <v/>
      </c>
      <c r="V129" s="24"/>
    </row>
    <row r="130" customFormat="false" ht="15" hidden="false" customHeight="false" outlineLevel="0" collapsed="false">
      <c r="A130" s="21"/>
      <c r="B130" s="22" t="str">
        <f aca="false">IF($A130="","",INDEX(Config!$F$2:$F$8,WEEKDAY($A130,2)))</f>
        <v/>
      </c>
      <c r="C130" s="23" t="str">
        <f aca="false">IF($A130="","",EOMONTH($A130,0))</f>
        <v/>
      </c>
      <c r="D130" s="24"/>
      <c r="E130" s="24"/>
      <c r="F130" s="25"/>
      <c r="G130" s="25"/>
      <c r="H130" s="26" t="str">
        <f aca="false">IF(OR($F130="",$G130=""),"",($G130-$F130+IF($G130&lt;$F130,1,0))*24)</f>
        <v/>
      </c>
      <c r="I130" s="27"/>
      <c r="J130" s="28"/>
      <c r="K130" s="29" t="str">
        <f aca="false">IF($J130="","",$J130*Config!$B$5)</f>
        <v/>
      </c>
      <c r="L130" s="28"/>
      <c r="M130" s="27"/>
      <c r="N130" s="28"/>
      <c r="O130" s="29" t="str">
        <f aca="false">IF($M130="","",$M130*Config!$B$6)</f>
        <v/>
      </c>
      <c r="P130" s="28"/>
      <c r="Q130" s="28"/>
      <c r="R130" s="30" t="str">
        <f aca="false">IF($J130="","",$J130-$K130+SUM($L130)-SUM($N130:$Q130))</f>
        <v/>
      </c>
      <c r="S130" s="30" t="str">
        <f aca="false">IF(OR($R130="",$H130="",$H130=0),"",$R130/$H130)</f>
        <v/>
      </c>
      <c r="T130" s="29" t="str">
        <f aca="false">IF(OR($R130="",$M130="",$M130=0),"",$R130/$M130)</f>
        <v/>
      </c>
      <c r="U130" s="26" t="str">
        <f aca="false">IF(OR($H130="",$H130=0,$I130=""),"",$I130/$H130)</f>
        <v/>
      </c>
      <c r="V130" s="24"/>
    </row>
    <row r="131" customFormat="false" ht="15" hidden="false" customHeight="false" outlineLevel="0" collapsed="false">
      <c r="A131" s="21"/>
      <c r="B131" s="22" t="str">
        <f aca="false">IF($A131="","",INDEX(Config!$F$2:$F$8,WEEKDAY($A131,2)))</f>
        <v/>
      </c>
      <c r="C131" s="23" t="str">
        <f aca="false">IF($A131="","",EOMONTH($A131,0))</f>
        <v/>
      </c>
      <c r="D131" s="24"/>
      <c r="E131" s="24"/>
      <c r="F131" s="25"/>
      <c r="G131" s="25"/>
      <c r="H131" s="26" t="str">
        <f aca="false">IF(OR($F131="",$G131=""),"",($G131-$F131+IF($G131&lt;$F131,1,0))*24)</f>
        <v/>
      </c>
      <c r="I131" s="27"/>
      <c r="J131" s="28"/>
      <c r="K131" s="29" t="str">
        <f aca="false">IF($J131="","",$J131*Config!$B$5)</f>
        <v/>
      </c>
      <c r="L131" s="28"/>
      <c r="M131" s="27"/>
      <c r="N131" s="28"/>
      <c r="O131" s="29" t="str">
        <f aca="false">IF($M131="","",$M131*Config!$B$6)</f>
        <v/>
      </c>
      <c r="P131" s="28"/>
      <c r="Q131" s="28"/>
      <c r="R131" s="30" t="str">
        <f aca="false">IF($J131="","",$J131-$K131+SUM($L131)-SUM($N131:$Q131))</f>
        <v/>
      </c>
      <c r="S131" s="30" t="str">
        <f aca="false">IF(OR($R131="",$H131="",$H131=0),"",$R131/$H131)</f>
        <v/>
      </c>
      <c r="T131" s="29" t="str">
        <f aca="false">IF(OR($R131="",$M131="",$M131=0),"",$R131/$M131)</f>
        <v/>
      </c>
      <c r="U131" s="26" t="str">
        <f aca="false">IF(OR($H131="",$H131=0,$I131=""),"",$I131/$H131)</f>
        <v/>
      </c>
      <c r="V131" s="24"/>
    </row>
    <row r="132" customFormat="false" ht="15" hidden="false" customHeight="false" outlineLevel="0" collapsed="false">
      <c r="A132" s="21"/>
      <c r="B132" s="22" t="str">
        <f aca="false">IF($A132="","",INDEX(Config!$F$2:$F$8,WEEKDAY($A132,2)))</f>
        <v/>
      </c>
      <c r="C132" s="23" t="str">
        <f aca="false">IF($A132="","",EOMONTH($A132,0))</f>
        <v/>
      </c>
      <c r="D132" s="24"/>
      <c r="E132" s="24"/>
      <c r="F132" s="25"/>
      <c r="G132" s="25"/>
      <c r="H132" s="26" t="str">
        <f aca="false">IF(OR($F132="",$G132=""),"",($G132-$F132+IF($G132&lt;$F132,1,0))*24)</f>
        <v/>
      </c>
      <c r="I132" s="27"/>
      <c r="J132" s="28"/>
      <c r="K132" s="29" t="str">
        <f aca="false">IF($J132="","",$J132*Config!$B$5)</f>
        <v/>
      </c>
      <c r="L132" s="28"/>
      <c r="M132" s="27"/>
      <c r="N132" s="28"/>
      <c r="O132" s="29" t="str">
        <f aca="false">IF($M132="","",$M132*Config!$B$6)</f>
        <v/>
      </c>
      <c r="P132" s="28"/>
      <c r="Q132" s="28"/>
      <c r="R132" s="30" t="str">
        <f aca="false">IF($J132="","",$J132-$K132+SUM($L132)-SUM($N132:$Q132))</f>
        <v/>
      </c>
      <c r="S132" s="30" t="str">
        <f aca="false">IF(OR($R132="",$H132="",$H132=0),"",$R132/$H132)</f>
        <v/>
      </c>
      <c r="T132" s="29" t="str">
        <f aca="false">IF(OR($R132="",$M132="",$M132=0),"",$R132/$M132)</f>
        <v/>
      </c>
      <c r="U132" s="26" t="str">
        <f aca="false">IF(OR($H132="",$H132=0,$I132=""),"",$I132/$H132)</f>
        <v/>
      </c>
      <c r="V132" s="24"/>
    </row>
    <row r="133" customFormat="false" ht="15" hidden="false" customHeight="false" outlineLevel="0" collapsed="false">
      <c r="A133" s="21"/>
      <c r="B133" s="22" t="str">
        <f aca="false">IF($A133="","",INDEX(Config!$F$2:$F$8,WEEKDAY($A133,2)))</f>
        <v/>
      </c>
      <c r="C133" s="23" t="str">
        <f aca="false">IF($A133="","",EOMONTH($A133,0))</f>
        <v/>
      </c>
      <c r="D133" s="24"/>
      <c r="E133" s="24"/>
      <c r="F133" s="25"/>
      <c r="G133" s="25"/>
      <c r="H133" s="26" t="str">
        <f aca="false">IF(OR($F133="",$G133=""),"",($G133-$F133+IF($G133&lt;$F133,1,0))*24)</f>
        <v/>
      </c>
      <c r="I133" s="27"/>
      <c r="J133" s="28"/>
      <c r="K133" s="29" t="str">
        <f aca="false">IF($J133="","",$J133*Config!$B$5)</f>
        <v/>
      </c>
      <c r="L133" s="28"/>
      <c r="M133" s="27"/>
      <c r="N133" s="28"/>
      <c r="O133" s="29" t="str">
        <f aca="false">IF($M133="","",$M133*Config!$B$6)</f>
        <v/>
      </c>
      <c r="P133" s="28"/>
      <c r="Q133" s="28"/>
      <c r="R133" s="30" t="str">
        <f aca="false">IF($J133="","",$J133-$K133+SUM($L133)-SUM($N133:$Q133))</f>
        <v/>
      </c>
      <c r="S133" s="30" t="str">
        <f aca="false">IF(OR($R133="",$H133="",$H133=0),"",$R133/$H133)</f>
        <v/>
      </c>
      <c r="T133" s="29" t="str">
        <f aca="false">IF(OR($R133="",$M133="",$M133=0),"",$R133/$M133)</f>
        <v/>
      </c>
      <c r="U133" s="26" t="str">
        <f aca="false">IF(OR($H133="",$H133=0,$I133=""),"",$I133/$H133)</f>
        <v/>
      </c>
      <c r="V133" s="24"/>
    </row>
    <row r="134" customFormat="false" ht="15" hidden="false" customHeight="false" outlineLevel="0" collapsed="false">
      <c r="A134" s="21"/>
      <c r="B134" s="22" t="str">
        <f aca="false">IF($A134="","",INDEX(Config!$F$2:$F$8,WEEKDAY($A134,2)))</f>
        <v/>
      </c>
      <c r="C134" s="23" t="str">
        <f aca="false">IF($A134="","",EOMONTH($A134,0))</f>
        <v/>
      </c>
      <c r="D134" s="24"/>
      <c r="E134" s="24"/>
      <c r="F134" s="25"/>
      <c r="G134" s="25"/>
      <c r="H134" s="26" t="str">
        <f aca="false">IF(OR($F134="",$G134=""),"",($G134-$F134+IF($G134&lt;$F134,1,0))*24)</f>
        <v/>
      </c>
      <c r="I134" s="27"/>
      <c r="J134" s="28"/>
      <c r="K134" s="29" t="str">
        <f aca="false">IF($J134="","",$J134*Config!$B$5)</f>
        <v/>
      </c>
      <c r="L134" s="28"/>
      <c r="M134" s="27"/>
      <c r="N134" s="28"/>
      <c r="O134" s="29" t="str">
        <f aca="false">IF($M134="","",$M134*Config!$B$6)</f>
        <v/>
      </c>
      <c r="P134" s="28"/>
      <c r="Q134" s="28"/>
      <c r="R134" s="30" t="str">
        <f aca="false">IF($J134="","",$J134-$K134+SUM($L134)-SUM($N134:$Q134))</f>
        <v/>
      </c>
      <c r="S134" s="30" t="str">
        <f aca="false">IF(OR($R134="",$H134="",$H134=0),"",$R134/$H134)</f>
        <v/>
      </c>
      <c r="T134" s="29" t="str">
        <f aca="false">IF(OR($R134="",$M134="",$M134=0),"",$R134/$M134)</f>
        <v/>
      </c>
      <c r="U134" s="26" t="str">
        <f aca="false">IF(OR($H134="",$H134=0,$I134=""),"",$I134/$H134)</f>
        <v/>
      </c>
      <c r="V134" s="24"/>
    </row>
    <row r="135" customFormat="false" ht="15" hidden="false" customHeight="false" outlineLevel="0" collapsed="false">
      <c r="A135" s="21"/>
      <c r="B135" s="22" t="str">
        <f aca="false">IF($A135="","",INDEX(Config!$F$2:$F$8,WEEKDAY($A135,2)))</f>
        <v/>
      </c>
      <c r="C135" s="23" t="str">
        <f aca="false">IF($A135="","",EOMONTH($A135,0))</f>
        <v/>
      </c>
      <c r="D135" s="24"/>
      <c r="E135" s="24"/>
      <c r="F135" s="25"/>
      <c r="G135" s="25"/>
      <c r="H135" s="26" t="str">
        <f aca="false">IF(OR($F135="",$G135=""),"",($G135-$F135+IF($G135&lt;$F135,1,0))*24)</f>
        <v/>
      </c>
      <c r="I135" s="27"/>
      <c r="J135" s="28"/>
      <c r="K135" s="29" t="str">
        <f aca="false">IF($J135="","",$J135*Config!$B$5)</f>
        <v/>
      </c>
      <c r="L135" s="28"/>
      <c r="M135" s="27"/>
      <c r="N135" s="28"/>
      <c r="O135" s="29" t="str">
        <f aca="false">IF($M135="","",$M135*Config!$B$6)</f>
        <v/>
      </c>
      <c r="P135" s="28"/>
      <c r="Q135" s="28"/>
      <c r="R135" s="30" t="str">
        <f aca="false">IF($J135="","",$J135-$K135+SUM($L135)-SUM($N135:$Q135))</f>
        <v/>
      </c>
      <c r="S135" s="30" t="str">
        <f aca="false">IF(OR($R135="",$H135="",$H135=0),"",$R135/$H135)</f>
        <v/>
      </c>
      <c r="T135" s="29" t="str">
        <f aca="false">IF(OR($R135="",$M135="",$M135=0),"",$R135/$M135)</f>
        <v/>
      </c>
      <c r="U135" s="26" t="str">
        <f aca="false">IF(OR($H135="",$H135=0,$I135=""),"",$I135/$H135)</f>
        <v/>
      </c>
      <c r="V135" s="24"/>
    </row>
    <row r="136" customFormat="false" ht="15" hidden="false" customHeight="false" outlineLevel="0" collapsed="false">
      <c r="A136" s="21"/>
      <c r="B136" s="22" t="str">
        <f aca="false">IF($A136="","",INDEX(Config!$F$2:$F$8,WEEKDAY($A136,2)))</f>
        <v/>
      </c>
      <c r="C136" s="23" t="str">
        <f aca="false">IF($A136="","",EOMONTH($A136,0))</f>
        <v/>
      </c>
      <c r="D136" s="24"/>
      <c r="E136" s="24"/>
      <c r="F136" s="25"/>
      <c r="G136" s="25"/>
      <c r="H136" s="26" t="str">
        <f aca="false">IF(OR($F136="",$G136=""),"",($G136-$F136+IF($G136&lt;$F136,1,0))*24)</f>
        <v/>
      </c>
      <c r="I136" s="27"/>
      <c r="J136" s="28"/>
      <c r="K136" s="29" t="str">
        <f aca="false">IF($J136="","",$J136*Config!$B$5)</f>
        <v/>
      </c>
      <c r="L136" s="28"/>
      <c r="M136" s="27"/>
      <c r="N136" s="28"/>
      <c r="O136" s="29" t="str">
        <f aca="false">IF($M136="","",$M136*Config!$B$6)</f>
        <v/>
      </c>
      <c r="P136" s="28"/>
      <c r="Q136" s="28"/>
      <c r="R136" s="30" t="str">
        <f aca="false">IF($J136="","",$J136-$K136+SUM($L136)-SUM($N136:$Q136))</f>
        <v/>
      </c>
      <c r="S136" s="30" t="str">
        <f aca="false">IF(OR($R136="",$H136="",$H136=0),"",$R136/$H136)</f>
        <v/>
      </c>
      <c r="T136" s="29" t="str">
        <f aca="false">IF(OR($R136="",$M136="",$M136=0),"",$R136/$M136)</f>
        <v/>
      </c>
      <c r="U136" s="26" t="str">
        <f aca="false">IF(OR($H136="",$H136=0,$I136=""),"",$I136/$H136)</f>
        <v/>
      </c>
      <c r="V136" s="24"/>
    </row>
    <row r="137" customFormat="false" ht="15" hidden="false" customHeight="false" outlineLevel="0" collapsed="false">
      <c r="A137" s="21"/>
      <c r="B137" s="22" t="str">
        <f aca="false">IF($A137="","",INDEX(Config!$F$2:$F$8,WEEKDAY($A137,2)))</f>
        <v/>
      </c>
      <c r="C137" s="23" t="str">
        <f aca="false">IF($A137="","",EOMONTH($A137,0))</f>
        <v/>
      </c>
      <c r="D137" s="24"/>
      <c r="E137" s="24"/>
      <c r="F137" s="25"/>
      <c r="G137" s="25"/>
      <c r="H137" s="26" t="str">
        <f aca="false">IF(OR($F137="",$G137=""),"",($G137-$F137+IF($G137&lt;$F137,1,0))*24)</f>
        <v/>
      </c>
      <c r="I137" s="27"/>
      <c r="J137" s="28"/>
      <c r="K137" s="29" t="str">
        <f aca="false">IF($J137="","",$J137*Config!$B$5)</f>
        <v/>
      </c>
      <c r="L137" s="28"/>
      <c r="M137" s="27"/>
      <c r="N137" s="28"/>
      <c r="O137" s="29" t="str">
        <f aca="false">IF($M137="","",$M137*Config!$B$6)</f>
        <v/>
      </c>
      <c r="P137" s="28"/>
      <c r="Q137" s="28"/>
      <c r="R137" s="30" t="str">
        <f aca="false">IF($J137="","",$J137-$K137+SUM($L137)-SUM($N137:$Q137))</f>
        <v/>
      </c>
      <c r="S137" s="30" t="str">
        <f aca="false">IF(OR($R137="",$H137="",$H137=0),"",$R137/$H137)</f>
        <v/>
      </c>
      <c r="T137" s="29" t="str">
        <f aca="false">IF(OR($R137="",$M137="",$M137=0),"",$R137/$M137)</f>
        <v/>
      </c>
      <c r="U137" s="26" t="str">
        <f aca="false">IF(OR($H137="",$H137=0,$I137=""),"",$I137/$H137)</f>
        <v/>
      </c>
      <c r="V137" s="24"/>
    </row>
    <row r="138" customFormat="false" ht="15" hidden="false" customHeight="false" outlineLevel="0" collapsed="false">
      <c r="A138" s="21"/>
      <c r="B138" s="22" t="str">
        <f aca="false">IF($A138="","",INDEX(Config!$F$2:$F$8,WEEKDAY($A138,2)))</f>
        <v/>
      </c>
      <c r="C138" s="23" t="str">
        <f aca="false">IF($A138="","",EOMONTH($A138,0))</f>
        <v/>
      </c>
      <c r="D138" s="24"/>
      <c r="E138" s="24"/>
      <c r="F138" s="25"/>
      <c r="G138" s="25"/>
      <c r="H138" s="26" t="str">
        <f aca="false">IF(OR($F138="",$G138=""),"",($G138-$F138+IF($G138&lt;$F138,1,0))*24)</f>
        <v/>
      </c>
      <c r="I138" s="27"/>
      <c r="J138" s="28"/>
      <c r="K138" s="29" t="str">
        <f aca="false">IF($J138="","",$J138*Config!$B$5)</f>
        <v/>
      </c>
      <c r="L138" s="28"/>
      <c r="M138" s="27"/>
      <c r="N138" s="28"/>
      <c r="O138" s="29" t="str">
        <f aca="false">IF($M138="","",$M138*Config!$B$6)</f>
        <v/>
      </c>
      <c r="P138" s="28"/>
      <c r="Q138" s="28"/>
      <c r="R138" s="30" t="str">
        <f aca="false">IF($J138="","",$J138-$K138+SUM($L138)-SUM($N138:$Q138))</f>
        <v/>
      </c>
      <c r="S138" s="30" t="str">
        <f aca="false">IF(OR($R138="",$H138="",$H138=0),"",$R138/$H138)</f>
        <v/>
      </c>
      <c r="T138" s="29" t="str">
        <f aca="false">IF(OR($R138="",$M138="",$M138=0),"",$R138/$M138)</f>
        <v/>
      </c>
      <c r="U138" s="26" t="str">
        <f aca="false">IF(OR($H138="",$H138=0,$I138=""),"",$I138/$H138)</f>
        <v/>
      </c>
      <c r="V138" s="24"/>
    </row>
    <row r="139" customFormat="false" ht="15" hidden="false" customHeight="false" outlineLevel="0" collapsed="false">
      <c r="A139" s="21"/>
      <c r="B139" s="22" t="str">
        <f aca="false">IF($A139="","",INDEX(Config!$F$2:$F$8,WEEKDAY($A139,2)))</f>
        <v/>
      </c>
      <c r="C139" s="23" t="str">
        <f aca="false">IF($A139="","",EOMONTH($A139,0))</f>
        <v/>
      </c>
      <c r="D139" s="24"/>
      <c r="E139" s="24"/>
      <c r="F139" s="25"/>
      <c r="G139" s="25"/>
      <c r="H139" s="26" t="str">
        <f aca="false">IF(OR($F139="",$G139=""),"",($G139-$F139+IF($G139&lt;$F139,1,0))*24)</f>
        <v/>
      </c>
      <c r="I139" s="27"/>
      <c r="J139" s="28"/>
      <c r="K139" s="29" t="str">
        <f aca="false">IF($J139="","",$J139*Config!$B$5)</f>
        <v/>
      </c>
      <c r="L139" s="28"/>
      <c r="M139" s="27"/>
      <c r="N139" s="28"/>
      <c r="O139" s="29" t="str">
        <f aca="false">IF($M139="","",$M139*Config!$B$6)</f>
        <v/>
      </c>
      <c r="P139" s="28"/>
      <c r="Q139" s="28"/>
      <c r="R139" s="30" t="str">
        <f aca="false">IF($J139="","",$J139-$K139+SUM($L139)-SUM($N139:$Q139))</f>
        <v/>
      </c>
      <c r="S139" s="30" t="str">
        <f aca="false">IF(OR($R139="",$H139="",$H139=0),"",$R139/$H139)</f>
        <v/>
      </c>
      <c r="T139" s="29" t="str">
        <f aca="false">IF(OR($R139="",$M139="",$M139=0),"",$R139/$M139)</f>
        <v/>
      </c>
      <c r="U139" s="26" t="str">
        <f aca="false">IF(OR($H139="",$H139=0,$I139=""),"",$I139/$H139)</f>
        <v/>
      </c>
      <c r="V139" s="24"/>
    </row>
    <row r="140" customFormat="false" ht="15" hidden="false" customHeight="false" outlineLevel="0" collapsed="false">
      <c r="A140" s="21"/>
      <c r="B140" s="22" t="str">
        <f aca="false">IF($A140="","",INDEX(Config!$F$2:$F$8,WEEKDAY($A140,2)))</f>
        <v/>
      </c>
      <c r="C140" s="23" t="str">
        <f aca="false">IF($A140="","",EOMONTH($A140,0))</f>
        <v/>
      </c>
      <c r="D140" s="24"/>
      <c r="E140" s="24"/>
      <c r="F140" s="25"/>
      <c r="G140" s="25"/>
      <c r="H140" s="26" t="str">
        <f aca="false">IF(OR($F140="",$G140=""),"",($G140-$F140+IF($G140&lt;$F140,1,0))*24)</f>
        <v/>
      </c>
      <c r="I140" s="27"/>
      <c r="J140" s="28"/>
      <c r="K140" s="29" t="str">
        <f aca="false">IF($J140="","",$J140*Config!$B$5)</f>
        <v/>
      </c>
      <c r="L140" s="28"/>
      <c r="M140" s="27"/>
      <c r="N140" s="28"/>
      <c r="O140" s="29" t="str">
        <f aca="false">IF($M140="","",$M140*Config!$B$6)</f>
        <v/>
      </c>
      <c r="P140" s="28"/>
      <c r="Q140" s="28"/>
      <c r="R140" s="30" t="str">
        <f aca="false">IF($J140="","",$J140-$K140+SUM($L140)-SUM($N140:$Q140))</f>
        <v/>
      </c>
      <c r="S140" s="30" t="str">
        <f aca="false">IF(OR($R140="",$H140="",$H140=0),"",$R140/$H140)</f>
        <v/>
      </c>
      <c r="T140" s="29" t="str">
        <f aca="false">IF(OR($R140="",$M140="",$M140=0),"",$R140/$M140)</f>
        <v/>
      </c>
      <c r="U140" s="26" t="str">
        <f aca="false">IF(OR($H140="",$H140=0,$I140=""),"",$I140/$H140)</f>
        <v/>
      </c>
      <c r="V140" s="24"/>
    </row>
    <row r="141" customFormat="false" ht="15" hidden="false" customHeight="false" outlineLevel="0" collapsed="false">
      <c r="A141" s="21"/>
      <c r="B141" s="22" t="str">
        <f aca="false">IF($A141="","",INDEX(Config!$F$2:$F$8,WEEKDAY($A141,2)))</f>
        <v/>
      </c>
      <c r="C141" s="23" t="str">
        <f aca="false">IF($A141="","",EOMONTH($A141,0))</f>
        <v/>
      </c>
      <c r="D141" s="24"/>
      <c r="E141" s="24"/>
      <c r="F141" s="25"/>
      <c r="G141" s="25"/>
      <c r="H141" s="26" t="str">
        <f aca="false">IF(OR($F141="",$G141=""),"",($G141-$F141+IF($G141&lt;$F141,1,0))*24)</f>
        <v/>
      </c>
      <c r="I141" s="27"/>
      <c r="J141" s="28"/>
      <c r="K141" s="29" t="str">
        <f aca="false">IF($J141="","",$J141*Config!$B$5)</f>
        <v/>
      </c>
      <c r="L141" s="28"/>
      <c r="M141" s="27"/>
      <c r="N141" s="28"/>
      <c r="O141" s="29" t="str">
        <f aca="false">IF($M141="","",$M141*Config!$B$6)</f>
        <v/>
      </c>
      <c r="P141" s="28"/>
      <c r="Q141" s="28"/>
      <c r="R141" s="30" t="str">
        <f aca="false">IF($J141="","",$J141-$K141+SUM($L141)-SUM($N141:$Q141))</f>
        <v/>
      </c>
      <c r="S141" s="30" t="str">
        <f aca="false">IF(OR($R141="",$H141="",$H141=0),"",$R141/$H141)</f>
        <v/>
      </c>
      <c r="T141" s="29" t="str">
        <f aca="false">IF(OR($R141="",$M141="",$M141=0),"",$R141/$M141)</f>
        <v/>
      </c>
      <c r="U141" s="26" t="str">
        <f aca="false">IF(OR($H141="",$H141=0,$I141=""),"",$I141/$H141)</f>
        <v/>
      </c>
      <c r="V141" s="24"/>
    </row>
    <row r="142" customFormat="false" ht="15" hidden="false" customHeight="false" outlineLevel="0" collapsed="false">
      <c r="A142" s="21"/>
      <c r="B142" s="22" t="str">
        <f aca="false">IF($A142="","",INDEX(Config!$F$2:$F$8,WEEKDAY($A142,2)))</f>
        <v/>
      </c>
      <c r="C142" s="23" t="str">
        <f aca="false">IF($A142="","",EOMONTH($A142,0))</f>
        <v/>
      </c>
      <c r="D142" s="24"/>
      <c r="E142" s="24"/>
      <c r="F142" s="25"/>
      <c r="G142" s="25"/>
      <c r="H142" s="26" t="str">
        <f aca="false">IF(OR($F142="",$G142=""),"",($G142-$F142+IF($G142&lt;$F142,1,0))*24)</f>
        <v/>
      </c>
      <c r="I142" s="27"/>
      <c r="J142" s="28"/>
      <c r="K142" s="29" t="str">
        <f aca="false">IF($J142="","",$J142*Config!$B$5)</f>
        <v/>
      </c>
      <c r="L142" s="28"/>
      <c r="M142" s="27"/>
      <c r="N142" s="28"/>
      <c r="O142" s="29" t="str">
        <f aca="false">IF($M142="","",$M142*Config!$B$6)</f>
        <v/>
      </c>
      <c r="P142" s="28"/>
      <c r="Q142" s="28"/>
      <c r="R142" s="30" t="str">
        <f aca="false">IF($J142="","",$J142-$K142+SUM($L142)-SUM($N142:$Q142))</f>
        <v/>
      </c>
      <c r="S142" s="30" t="str">
        <f aca="false">IF(OR($R142="",$H142="",$H142=0),"",$R142/$H142)</f>
        <v/>
      </c>
      <c r="T142" s="29" t="str">
        <f aca="false">IF(OR($R142="",$M142="",$M142=0),"",$R142/$M142)</f>
        <v/>
      </c>
      <c r="U142" s="26" t="str">
        <f aca="false">IF(OR($H142="",$H142=0,$I142=""),"",$I142/$H142)</f>
        <v/>
      </c>
      <c r="V142" s="24"/>
    </row>
    <row r="143" customFormat="false" ht="15" hidden="false" customHeight="false" outlineLevel="0" collapsed="false">
      <c r="A143" s="21"/>
      <c r="B143" s="22" t="str">
        <f aca="false">IF($A143="","",INDEX(Config!$F$2:$F$8,WEEKDAY($A143,2)))</f>
        <v/>
      </c>
      <c r="C143" s="23" t="str">
        <f aca="false">IF($A143="","",EOMONTH($A143,0))</f>
        <v/>
      </c>
      <c r="D143" s="24"/>
      <c r="E143" s="24"/>
      <c r="F143" s="25"/>
      <c r="G143" s="25"/>
      <c r="H143" s="26" t="str">
        <f aca="false">IF(OR($F143="",$G143=""),"",($G143-$F143+IF($G143&lt;$F143,1,0))*24)</f>
        <v/>
      </c>
      <c r="I143" s="27"/>
      <c r="J143" s="28"/>
      <c r="K143" s="29" t="str">
        <f aca="false">IF($J143="","",$J143*Config!$B$5)</f>
        <v/>
      </c>
      <c r="L143" s="28"/>
      <c r="M143" s="27"/>
      <c r="N143" s="28"/>
      <c r="O143" s="29" t="str">
        <f aca="false">IF($M143="","",$M143*Config!$B$6)</f>
        <v/>
      </c>
      <c r="P143" s="28"/>
      <c r="Q143" s="28"/>
      <c r="R143" s="30" t="str">
        <f aca="false">IF($J143="","",$J143-$K143+SUM($L143)-SUM($N143:$Q143))</f>
        <v/>
      </c>
      <c r="S143" s="30" t="str">
        <f aca="false">IF(OR($R143="",$H143="",$H143=0),"",$R143/$H143)</f>
        <v/>
      </c>
      <c r="T143" s="29" t="str">
        <f aca="false">IF(OR($R143="",$M143="",$M143=0),"",$R143/$M143)</f>
        <v/>
      </c>
      <c r="U143" s="26" t="str">
        <f aca="false">IF(OR($H143="",$H143=0,$I143=""),"",$I143/$H143)</f>
        <v/>
      </c>
      <c r="V143" s="24"/>
    </row>
    <row r="144" customFormat="false" ht="15" hidden="false" customHeight="false" outlineLevel="0" collapsed="false">
      <c r="A144" s="21"/>
      <c r="B144" s="22" t="str">
        <f aca="false">IF($A144="","",INDEX(Config!$F$2:$F$8,WEEKDAY($A144,2)))</f>
        <v/>
      </c>
      <c r="C144" s="23" t="str">
        <f aca="false">IF($A144="","",EOMONTH($A144,0))</f>
        <v/>
      </c>
      <c r="D144" s="24"/>
      <c r="E144" s="24"/>
      <c r="F144" s="25"/>
      <c r="G144" s="25"/>
      <c r="H144" s="26" t="str">
        <f aca="false">IF(OR($F144="",$G144=""),"",($G144-$F144+IF($G144&lt;$F144,1,0))*24)</f>
        <v/>
      </c>
      <c r="I144" s="27"/>
      <c r="J144" s="28"/>
      <c r="K144" s="29" t="str">
        <f aca="false">IF($J144="","",$J144*Config!$B$5)</f>
        <v/>
      </c>
      <c r="L144" s="28"/>
      <c r="M144" s="27"/>
      <c r="N144" s="28"/>
      <c r="O144" s="29" t="str">
        <f aca="false">IF($M144="","",$M144*Config!$B$6)</f>
        <v/>
      </c>
      <c r="P144" s="28"/>
      <c r="Q144" s="28"/>
      <c r="R144" s="30" t="str">
        <f aca="false">IF($J144="","",$J144-$K144+SUM($L144)-SUM($N144:$Q144))</f>
        <v/>
      </c>
      <c r="S144" s="30" t="str">
        <f aca="false">IF(OR($R144="",$H144="",$H144=0),"",$R144/$H144)</f>
        <v/>
      </c>
      <c r="T144" s="29" t="str">
        <f aca="false">IF(OR($R144="",$M144="",$M144=0),"",$R144/$M144)</f>
        <v/>
      </c>
      <c r="U144" s="26" t="str">
        <f aca="false">IF(OR($H144="",$H144=0,$I144=""),"",$I144/$H144)</f>
        <v/>
      </c>
      <c r="V144" s="24"/>
    </row>
    <row r="145" customFormat="false" ht="15" hidden="false" customHeight="false" outlineLevel="0" collapsed="false">
      <c r="A145" s="21"/>
      <c r="B145" s="22" t="str">
        <f aca="false">IF($A145="","",INDEX(Config!$F$2:$F$8,WEEKDAY($A145,2)))</f>
        <v/>
      </c>
      <c r="C145" s="23" t="str">
        <f aca="false">IF($A145="","",EOMONTH($A145,0))</f>
        <v/>
      </c>
      <c r="D145" s="24"/>
      <c r="E145" s="24"/>
      <c r="F145" s="25"/>
      <c r="G145" s="25"/>
      <c r="H145" s="26" t="str">
        <f aca="false">IF(OR($F145="",$G145=""),"",($G145-$F145+IF($G145&lt;$F145,1,0))*24)</f>
        <v/>
      </c>
      <c r="I145" s="27"/>
      <c r="J145" s="28"/>
      <c r="K145" s="29" t="str">
        <f aca="false">IF($J145="","",$J145*Config!$B$5)</f>
        <v/>
      </c>
      <c r="L145" s="28"/>
      <c r="M145" s="27"/>
      <c r="N145" s="28"/>
      <c r="O145" s="29" t="str">
        <f aca="false">IF($M145="","",$M145*Config!$B$6)</f>
        <v/>
      </c>
      <c r="P145" s="28"/>
      <c r="Q145" s="28"/>
      <c r="R145" s="30" t="str">
        <f aca="false">IF($J145="","",$J145-$K145+SUM($L145)-SUM($N145:$Q145))</f>
        <v/>
      </c>
      <c r="S145" s="30" t="str">
        <f aca="false">IF(OR($R145="",$H145="",$H145=0),"",$R145/$H145)</f>
        <v/>
      </c>
      <c r="T145" s="29" t="str">
        <f aca="false">IF(OR($R145="",$M145="",$M145=0),"",$R145/$M145)</f>
        <v/>
      </c>
      <c r="U145" s="26" t="str">
        <f aca="false">IF(OR($H145="",$H145=0,$I145=""),"",$I145/$H145)</f>
        <v/>
      </c>
      <c r="V145" s="24"/>
    </row>
    <row r="146" customFormat="false" ht="15" hidden="false" customHeight="false" outlineLevel="0" collapsed="false">
      <c r="A146" s="21"/>
      <c r="B146" s="22" t="str">
        <f aca="false">IF($A146="","",INDEX(Config!$F$2:$F$8,WEEKDAY($A146,2)))</f>
        <v/>
      </c>
      <c r="C146" s="23" t="str">
        <f aca="false">IF($A146="","",EOMONTH($A146,0))</f>
        <v/>
      </c>
      <c r="D146" s="24"/>
      <c r="E146" s="24"/>
      <c r="F146" s="25"/>
      <c r="G146" s="25"/>
      <c r="H146" s="26" t="str">
        <f aca="false">IF(OR($F146="",$G146=""),"",($G146-$F146+IF($G146&lt;$F146,1,0))*24)</f>
        <v/>
      </c>
      <c r="I146" s="27"/>
      <c r="J146" s="28"/>
      <c r="K146" s="29" t="str">
        <f aca="false">IF($J146="","",$J146*Config!$B$5)</f>
        <v/>
      </c>
      <c r="L146" s="28"/>
      <c r="M146" s="27"/>
      <c r="N146" s="28"/>
      <c r="O146" s="29" t="str">
        <f aca="false">IF($M146="","",$M146*Config!$B$6)</f>
        <v/>
      </c>
      <c r="P146" s="28"/>
      <c r="Q146" s="28"/>
      <c r="R146" s="30" t="str">
        <f aca="false">IF($J146="","",$J146-$K146+SUM($L146)-SUM($N146:$Q146))</f>
        <v/>
      </c>
      <c r="S146" s="30" t="str">
        <f aca="false">IF(OR($R146="",$H146="",$H146=0),"",$R146/$H146)</f>
        <v/>
      </c>
      <c r="T146" s="29" t="str">
        <f aca="false">IF(OR($R146="",$M146="",$M146=0),"",$R146/$M146)</f>
        <v/>
      </c>
      <c r="U146" s="26" t="str">
        <f aca="false">IF(OR($H146="",$H146=0,$I146=""),"",$I146/$H146)</f>
        <v/>
      </c>
      <c r="V146" s="24"/>
    </row>
    <row r="147" customFormat="false" ht="15" hidden="false" customHeight="false" outlineLevel="0" collapsed="false">
      <c r="A147" s="21"/>
      <c r="B147" s="22" t="str">
        <f aca="false">IF($A147="","",INDEX(Config!$F$2:$F$8,WEEKDAY($A147,2)))</f>
        <v/>
      </c>
      <c r="C147" s="23" t="str">
        <f aca="false">IF($A147="","",EOMONTH($A147,0))</f>
        <v/>
      </c>
      <c r="D147" s="24"/>
      <c r="E147" s="24"/>
      <c r="F147" s="25"/>
      <c r="G147" s="25"/>
      <c r="H147" s="26" t="str">
        <f aca="false">IF(OR($F147="",$G147=""),"",($G147-$F147+IF($G147&lt;$F147,1,0))*24)</f>
        <v/>
      </c>
      <c r="I147" s="27"/>
      <c r="J147" s="28"/>
      <c r="K147" s="29" t="str">
        <f aca="false">IF($J147="","",$J147*Config!$B$5)</f>
        <v/>
      </c>
      <c r="L147" s="28"/>
      <c r="M147" s="27"/>
      <c r="N147" s="28"/>
      <c r="O147" s="29" t="str">
        <f aca="false">IF($M147="","",$M147*Config!$B$6)</f>
        <v/>
      </c>
      <c r="P147" s="28"/>
      <c r="Q147" s="28"/>
      <c r="R147" s="30" t="str">
        <f aca="false">IF($J147="","",$J147-$K147+SUM($L147)-SUM($N147:$Q147))</f>
        <v/>
      </c>
      <c r="S147" s="30" t="str">
        <f aca="false">IF(OR($R147="",$H147="",$H147=0),"",$R147/$H147)</f>
        <v/>
      </c>
      <c r="T147" s="29" t="str">
        <f aca="false">IF(OR($R147="",$M147="",$M147=0),"",$R147/$M147)</f>
        <v/>
      </c>
      <c r="U147" s="26" t="str">
        <f aca="false">IF(OR($H147="",$H147=0,$I147=""),"",$I147/$H147)</f>
        <v/>
      </c>
      <c r="V147" s="24"/>
    </row>
    <row r="148" customFormat="false" ht="15" hidden="false" customHeight="false" outlineLevel="0" collapsed="false">
      <c r="A148" s="21"/>
      <c r="B148" s="22" t="str">
        <f aca="false">IF($A148="","",INDEX(Config!$F$2:$F$8,WEEKDAY($A148,2)))</f>
        <v/>
      </c>
      <c r="C148" s="23" t="str">
        <f aca="false">IF($A148="","",EOMONTH($A148,0))</f>
        <v/>
      </c>
      <c r="D148" s="24"/>
      <c r="E148" s="24"/>
      <c r="F148" s="25"/>
      <c r="G148" s="25"/>
      <c r="H148" s="26" t="str">
        <f aca="false">IF(OR($F148="",$G148=""),"",($G148-$F148+IF($G148&lt;$F148,1,0))*24)</f>
        <v/>
      </c>
      <c r="I148" s="27"/>
      <c r="J148" s="28"/>
      <c r="K148" s="29" t="str">
        <f aca="false">IF($J148="","",$J148*Config!$B$5)</f>
        <v/>
      </c>
      <c r="L148" s="28"/>
      <c r="M148" s="27"/>
      <c r="N148" s="28"/>
      <c r="O148" s="29" t="str">
        <f aca="false">IF($M148="","",$M148*Config!$B$6)</f>
        <v/>
      </c>
      <c r="P148" s="28"/>
      <c r="Q148" s="28"/>
      <c r="R148" s="30" t="str">
        <f aca="false">IF($J148="","",$J148-$K148+SUM($L148)-SUM($N148:$Q148))</f>
        <v/>
      </c>
      <c r="S148" s="30" t="str">
        <f aca="false">IF(OR($R148="",$H148="",$H148=0),"",$R148/$H148)</f>
        <v/>
      </c>
      <c r="T148" s="29" t="str">
        <f aca="false">IF(OR($R148="",$M148="",$M148=0),"",$R148/$M148)</f>
        <v/>
      </c>
      <c r="U148" s="26" t="str">
        <f aca="false">IF(OR($H148="",$H148=0,$I148=""),"",$I148/$H148)</f>
        <v/>
      </c>
      <c r="V148" s="24"/>
    </row>
    <row r="149" customFormat="false" ht="15" hidden="false" customHeight="false" outlineLevel="0" collapsed="false">
      <c r="A149" s="21"/>
      <c r="B149" s="22" t="str">
        <f aca="false">IF($A149="","",INDEX(Config!$F$2:$F$8,WEEKDAY($A149,2)))</f>
        <v/>
      </c>
      <c r="C149" s="23" t="str">
        <f aca="false">IF($A149="","",EOMONTH($A149,0))</f>
        <v/>
      </c>
      <c r="D149" s="24"/>
      <c r="E149" s="24"/>
      <c r="F149" s="25"/>
      <c r="G149" s="25"/>
      <c r="H149" s="26" t="str">
        <f aca="false">IF(OR($F149="",$G149=""),"",($G149-$F149+IF($G149&lt;$F149,1,0))*24)</f>
        <v/>
      </c>
      <c r="I149" s="27"/>
      <c r="J149" s="28"/>
      <c r="K149" s="29" t="str">
        <f aca="false">IF($J149="","",$J149*Config!$B$5)</f>
        <v/>
      </c>
      <c r="L149" s="28"/>
      <c r="M149" s="27"/>
      <c r="N149" s="28"/>
      <c r="O149" s="29" t="str">
        <f aca="false">IF($M149="","",$M149*Config!$B$6)</f>
        <v/>
      </c>
      <c r="P149" s="28"/>
      <c r="Q149" s="28"/>
      <c r="R149" s="30" t="str">
        <f aca="false">IF($J149="","",$J149-$K149+SUM($L149)-SUM($N149:$Q149))</f>
        <v/>
      </c>
      <c r="S149" s="30" t="str">
        <f aca="false">IF(OR($R149="",$H149="",$H149=0),"",$R149/$H149)</f>
        <v/>
      </c>
      <c r="T149" s="29" t="str">
        <f aca="false">IF(OR($R149="",$M149="",$M149=0),"",$R149/$M149)</f>
        <v/>
      </c>
      <c r="U149" s="26" t="str">
        <f aca="false">IF(OR($H149="",$H149=0,$I149=""),"",$I149/$H149)</f>
        <v/>
      </c>
      <c r="V149" s="24"/>
    </row>
    <row r="150" customFormat="false" ht="15" hidden="false" customHeight="false" outlineLevel="0" collapsed="false">
      <c r="A150" s="21"/>
      <c r="B150" s="22" t="str">
        <f aca="false">IF($A150="","",INDEX(Config!$F$2:$F$8,WEEKDAY($A150,2)))</f>
        <v/>
      </c>
      <c r="C150" s="23" t="str">
        <f aca="false">IF($A150="","",EOMONTH($A150,0))</f>
        <v/>
      </c>
      <c r="D150" s="24"/>
      <c r="E150" s="24"/>
      <c r="F150" s="25"/>
      <c r="G150" s="25"/>
      <c r="H150" s="26" t="str">
        <f aca="false">IF(OR($F150="",$G150=""),"",($G150-$F150+IF($G150&lt;$F150,1,0))*24)</f>
        <v/>
      </c>
      <c r="I150" s="27"/>
      <c r="J150" s="28"/>
      <c r="K150" s="29" t="str">
        <f aca="false">IF($J150="","",$J150*Config!$B$5)</f>
        <v/>
      </c>
      <c r="L150" s="28"/>
      <c r="M150" s="27"/>
      <c r="N150" s="28"/>
      <c r="O150" s="29" t="str">
        <f aca="false">IF($M150="","",$M150*Config!$B$6)</f>
        <v/>
      </c>
      <c r="P150" s="28"/>
      <c r="Q150" s="28"/>
      <c r="R150" s="30" t="str">
        <f aca="false">IF($J150="","",$J150-$K150+SUM($L150)-SUM($N150:$Q150))</f>
        <v/>
      </c>
      <c r="S150" s="30" t="str">
        <f aca="false">IF(OR($R150="",$H150="",$H150=0),"",$R150/$H150)</f>
        <v/>
      </c>
      <c r="T150" s="29" t="str">
        <f aca="false">IF(OR($R150="",$M150="",$M150=0),"",$R150/$M150)</f>
        <v/>
      </c>
      <c r="U150" s="26" t="str">
        <f aca="false">IF(OR($H150="",$H150=0,$I150=""),"",$I150/$H150)</f>
        <v/>
      </c>
      <c r="V150" s="24"/>
    </row>
    <row r="151" customFormat="false" ht="15" hidden="false" customHeight="false" outlineLevel="0" collapsed="false">
      <c r="A151" s="21"/>
      <c r="B151" s="22" t="str">
        <f aca="false">IF($A151="","",INDEX(Config!$F$2:$F$8,WEEKDAY($A151,2)))</f>
        <v/>
      </c>
      <c r="C151" s="23" t="str">
        <f aca="false">IF($A151="","",EOMONTH($A151,0))</f>
        <v/>
      </c>
      <c r="D151" s="24"/>
      <c r="E151" s="24"/>
      <c r="F151" s="25"/>
      <c r="G151" s="25"/>
      <c r="H151" s="26" t="str">
        <f aca="false">IF(OR($F151="",$G151=""),"",($G151-$F151+IF($G151&lt;$F151,1,0))*24)</f>
        <v/>
      </c>
      <c r="I151" s="27"/>
      <c r="J151" s="28"/>
      <c r="K151" s="29" t="str">
        <f aca="false">IF($J151="","",$J151*Config!$B$5)</f>
        <v/>
      </c>
      <c r="L151" s="28"/>
      <c r="M151" s="27"/>
      <c r="N151" s="28"/>
      <c r="O151" s="29" t="str">
        <f aca="false">IF($M151="","",$M151*Config!$B$6)</f>
        <v/>
      </c>
      <c r="P151" s="28"/>
      <c r="Q151" s="28"/>
      <c r="R151" s="30" t="str">
        <f aca="false">IF($J151="","",$J151-$K151+SUM($L151)-SUM($N151:$Q151))</f>
        <v/>
      </c>
      <c r="S151" s="30" t="str">
        <f aca="false">IF(OR($R151="",$H151="",$H151=0),"",$R151/$H151)</f>
        <v/>
      </c>
      <c r="T151" s="29" t="str">
        <f aca="false">IF(OR($R151="",$M151="",$M151=0),"",$R151/$M151)</f>
        <v/>
      </c>
      <c r="U151" s="26" t="str">
        <f aca="false">IF(OR($H151="",$H151=0,$I151=""),"",$I151/$H151)</f>
        <v/>
      </c>
      <c r="V151" s="24"/>
    </row>
    <row r="152" customFormat="false" ht="15" hidden="false" customHeight="false" outlineLevel="0" collapsed="false">
      <c r="A152" s="21"/>
      <c r="B152" s="22" t="str">
        <f aca="false">IF($A152="","",INDEX(Config!$F$2:$F$8,WEEKDAY($A152,2)))</f>
        <v/>
      </c>
      <c r="C152" s="23" t="str">
        <f aca="false">IF($A152="","",EOMONTH($A152,0))</f>
        <v/>
      </c>
      <c r="D152" s="24"/>
      <c r="E152" s="24"/>
      <c r="F152" s="25"/>
      <c r="G152" s="25"/>
      <c r="H152" s="26" t="str">
        <f aca="false">IF(OR($F152="",$G152=""),"",($G152-$F152+IF($G152&lt;$F152,1,0))*24)</f>
        <v/>
      </c>
      <c r="I152" s="27"/>
      <c r="J152" s="28"/>
      <c r="K152" s="29" t="str">
        <f aca="false">IF($J152="","",$J152*Config!$B$5)</f>
        <v/>
      </c>
      <c r="L152" s="28"/>
      <c r="M152" s="27"/>
      <c r="N152" s="28"/>
      <c r="O152" s="29" t="str">
        <f aca="false">IF($M152="","",$M152*Config!$B$6)</f>
        <v/>
      </c>
      <c r="P152" s="28"/>
      <c r="Q152" s="28"/>
      <c r="R152" s="30" t="str">
        <f aca="false">IF($J152="","",$J152-$K152+SUM($L152)-SUM($N152:$Q152))</f>
        <v/>
      </c>
      <c r="S152" s="30" t="str">
        <f aca="false">IF(OR($R152="",$H152="",$H152=0),"",$R152/$H152)</f>
        <v/>
      </c>
      <c r="T152" s="29" t="str">
        <f aca="false">IF(OR($R152="",$M152="",$M152=0),"",$R152/$M152)</f>
        <v/>
      </c>
      <c r="U152" s="26" t="str">
        <f aca="false">IF(OR($H152="",$H152=0,$I152=""),"",$I152/$H152)</f>
        <v/>
      </c>
      <c r="V152" s="24"/>
    </row>
    <row r="153" customFormat="false" ht="15" hidden="false" customHeight="false" outlineLevel="0" collapsed="false">
      <c r="A153" s="21"/>
      <c r="B153" s="22" t="str">
        <f aca="false">IF($A153="","",INDEX(Config!$F$2:$F$8,WEEKDAY($A153,2)))</f>
        <v/>
      </c>
      <c r="C153" s="23" t="str">
        <f aca="false">IF($A153="","",EOMONTH($A153,0))</f>
        <v/>
      </c>
      <c r="D153" s="24"/>
      <c r="E153" s="24"/>
      <c r="F153" s="25"/>
      <c r="G153" s="25"/>
      <c r="H153" s="26" t="str">
        <f aca="false">IF(OR($F153="",$G153=""),"",($G153-$F153+IF($G153&lt;$F153,1,0))*24)</f>
        <v/>
      </c>
      <c r="I153" s="27"/>
      <c r="J153" s="28"/>
      <c r="K153" s="29" t="str">
        <f aca="false">IF($J153="","",$J153*Config!$B$5)</f>
        <v/>
      </c>
      <c r="L153" s="28"/>
      <c r="M153" s="27"/>
      <c r="N153" s="28"/>
      <c r="O153" s="29" t="str">
        <f aca="false">IF($M153="","",$M153*Config!$B$6)</f>
        <v/>
      </c>
      <c r="P153" s="28"/>
      <c r="Q153" s="28"/>
      <c r="R153" s="30" t="str">
        <f aca="false">IF($J153="","",$J153-$K153+SUM($L153)-SUM($N153:$Q153))</f>
        <v/>
      </c>
      <c r="S153" s="30" t="str">
        <f aca="false">IF(OR($R153="",$H153="",$H153=0),"",$R153/$H153)</f>
        <v/>
      </c>
      <c r="T153" s="29" t="str">
        <f aca="false">IF(OR($R153="",$M153="",$M153=0),"",$R153/$M153)</f>
        <v/>
      </c>
      <c r="U153" s="26" t="str">
        <f aca="false">IF(OR($H153="",$H153=0,$I153=""),"",$I153/$H153)</f>
        <v/>
      </c>
      <c r="V153" s="24"/>
    </row>
    <row r="154" customFormat="false" ht="15" hidden="false" customHeight="false" outlineLevel="0" collapsed="false">
      <c r="A154" s="21"/>
      <c r="B154" s="22" t="str">
        <f aca="false">IF($A154="","",INDEX(Config!$F$2:$F$8,WEEKDAY($A154,2)))</f>
        <v/>
      </c>
      <c r="C154" s="23" t="str">
        <f aca="false">IF($A154="","",EOMONTH($A154,0))</f>
        <v/>
      </c>
      <c r="D154" s="24"/>
      <c r="E154" s="24"/>
      <c r="F154" s="25"/>
      <c r="G154" s="25"/>
      <c r="H154" s="26" t="str">
        <f aca="false">IF(OR($F154="",$G154=""),"",($G154-$F154+IF($G154&lt;$F154,1,0))*24)</f>
        <v/>
      </c>
      <c r="I154" s="27"/>
      <c r="J154" s="28"/>
      <c r="K154" s="29" t="str">
        <f aca="false">IF($J154="","",$J154*Config!$B$5)</f>
        <v/>
      </c>
      <c r="L154" s="28"/>
      <c r="M154" s="27"/>
      <c r="N154" s="28"/>
      <c r="O154" s="29" t="str">
        <f aca="false">IF($M154="","",$M154*Config!$B$6)</f>
        <v/>
      </c>
      <c r="P154" s="28"/>
      <c r="Q154" s="28"/>
      <c r="R154" s="30" t="str">
        <f aca="false">IF($J154="","",$J154-$K154+SUM($L154)-SUM($N154:$Q154))</f>
        <v/>
      </c>
      <c r="S154" s="30" t="str">
        <f aca="false">IF(OR($R154="",$H154="",$H154=0),"",$R154/$H154)</f>
        <v/>
      </c>
      <c r="T154" s="29" t="str">
        <f aca="false">IF(OR($R154="",$M154="",$M154=0),"",$R154/$M154)</f>
        <v/>
      </c>
      <c r="U154" s="26" t="str">
        <f aca="false">IF(OR($H154="",$H154=0,$I154=""),"",$I154/$H154)</f>
        <v/>
      </c>
      <c r="V154" s="24"/>
    </row>
    <row r="155" customFormat="false" ht="15" hidden="false" customHeight="false" outlineLevel="0" collapsed="false">
      <c r="A155" s="21"/>
      <c r="B155" s="22" t="str">
        <f aca="false">IF($A155="","",INDEX(Config!$F$2:$F$8,WEEKDAY($A155,2)))</f>
        <v/>
      </c>
      <c r="C155" s="23" t="str">
        <f aca="false">IF($A155="","",EOMONTH($A155,0))</f>
        <v/>
      </c>
      <c r="D155" s="24"/>
      <c r="E155" s="24"/>
      <c r="F155" s="25"/>
      <c r="G155" s="25"/>
      <c r="H155" s="26" t="str">
        <f aca="false">IF(OR($F155="",$G155=""),"",($G155-$F155+IF($G155&lt;$F155,1,0))*24)</f>
        <v/>
      </c>
      <c r="I155" s="27"/>
      <c r="J155" s="28"/>
      <c r="K155" s="29" t="str">
        <f aca="false">IF($J155="","",$J155*Config!$B$5)</f>
        <v/>
      </c>
      <c r="L155" s="28"/>
      <c r="M155" s="27"/>
      <c r="N155" s="28"/>
      <c r="O155" s="29" t="str">
        <f aca="false">IF($M155="","",$M155*Config!$B$6)</f>
        <v/>
      </c>
      <c r="P155" s="28"/>
      <c r="Q155" s="28"/>
      <c r="R155" s="30" t="str">
        <f aca="false">IF($J155="","",$J155-$K155+SUM($L155)-SUM($N155:$Q155))</f>
        <v/>
      </c>
      <c r="S155" s="30" t="str">
        <f aca="false">IF(OR($R155="",$H155="",$H155=0),"",$R155/$H155)</f>
        <v/>
      </c>
      <c r="T155" s="29" t="str">
        <f aca="false">IF(OR($R155="",$M155="",$M155=0),"",$R155/$M155)</f>
        <v/>
      </c>
      <c r="U155" s="26" t="str">
        <f aca="false">IF(OR($H155="",$H155=0,$I155=""),"",$I155/$H155)</f>
        <v/>
      </c>
      <c r="V155" s="24"/>
    </row>
    <row r="156" customFormat="false" ht="15" hidden="false" customHeight="false" outlineLevel="0" collapsed="false">
      <c r="A156" s="21"/>
      <c r="B156" s="22" t="str">
        <f aca="false">IF($A156="","",INDEX(Config!$F$2:$F$8,WEEKDAY($A156,2)))</f>
        <v/>
      </c>
      <c r="C156" s="23" t="str">
        <f aca="false">IF($A156="","",EOMONTH($A156,0))</f>
        <v/>
      </c>
      <c r="D156" s="24"/>
      <c r="E156" s="24"/>
      <c r="F156" s="25"/>
      <c r="G156" s="25"/>
      <c r="H156" s="26" t="str">
        <f aca="false">IF(OR($F156="",$G156=""),"",($G156-$F156+IF($G156&lt;$F156,1,0))*24)</f>
        <v/>
      </c>
      <c r="I156" s="27"/>
      <c r="J156" s="28"/>
      <c r="K156" s="29" t="str">
        <f aca="false">IF($J156="","",$J156*Config!$B$5)</f>
        <v/>
      </c>
      <c r="L156" s="28"/>
      <c r="M156" s="27"/>
      <c r="N156" s="28"/>
      <c r="O156" s="29" t="str">
        <f aca="false">IF($M156="","",$M156*Config!$B$6)</f>
        <v/>
      </c>
      <c r="P156" s="28"/>
      <c r="Q156" s="28"/>
      <c r="R156" s="30" t="str">
        <f aca="false">IF($J156="","",$J156-$K156+SUM($L156)-SUM($N156:$Q156))</f>
        <v/>
      </c>
      <c r="S156" s="30" t="str">
        <f aca="false">IF(OR($R156="",$H156="",$H156=0),"",$R156/$H156)</f>
        <v/>
      </c>
      <c r="T156" s="29" t="str">
        <f aca="false">IF(OR($R156="",$M156="",$M156=0),"",$R156/$M156)</f>
        <v/>
      </c>
      <c r="U156" s="26" t="str">
        <f aca="false">IF(OR($H156="",$H156=0,$I156=""),"",$I156/$H156)</f>
        <v/>
      </c>
      <c r="V156" s="24"/>
    </row>
    <row r="157" customFormat="false" ht="15" hidden="false" customHeight="false" outlineLevel="0" collapsed="false">
      <c r="A157" s="21"/>
      <c r="B157" s="22" t="str">
        <f aca="false">IF($A157="","",INDEX(Config!$F$2:$F$8,WEEKDAY($A157,2)))</f>
        <v/>
      </c>
      <c r="C157" s="23" t="str">
        <f aca="false">IF($A157="","",EOMONTH($A157,0))</f>
        <v/>
      </c>
      <c r="D157" s="24"/>
      <c r="E157" s="24"/>
      <c r="F157" s="25"/>
      <c r="G157" s="25"/>
      <c r="H157" s="26" t="str">
        <f aca="false">IF(OR($F157="",$G157=""),"",($G157-$F157+IF($G157&lt;$F157,1,0))*24)</f>
        <v/>
      </c>
      <c r="I157" s="27"/>
      <c r="J157" s="28"/>
      <c r="K157" s="29" t="str">
        <f aca="false">IF($J157="","",$J157*Config!$B$5)</f>
        <v/>
      </c>
      <c r="L157" s="28"/>
      <c r="M157" s="27"/>
      <c r="N157" s="28"/>
      <c r="O157" s="29" t="str">
        <f aca="false">IF($M157="","",$M157*Config!$B$6)</f>
        <v/>
      </c>
      <c r="P157" s="28"/>
      <c r="Q157" s="28"/>
      <c r="R157" s="30" t="str">
        <f aca="false">IF($J157="","",$J157-$K157+SUM($L157)-SUM($N157:$Q157))</f>
        <v/>
      </c>
      <c r="S157" s="30" t="str">
        <f aca="false">IF(OR($R157="",$H157="",$H157=0),"",$R157/$H157)</f>
        <v/>
      </c>
      <c r="T157" s="29" t="str">
        <f aca="false">IF(OR($R157="",$M157="",$M157=0),"",$R157/$M157)</f>
        <v/>
      </c>
      <c r="U157" s="26" t="str">
        <f aca="false">IF(OR($H157="",$H157=0,$I157=""),"",$I157/$H157)</f>
        <v/>
      </c>
      <c r="V157" s="24"/>
    </row>
    <row r="158" customFormat="false" ht="15" hidden="false" customHeight="false" outlineLevel="0" collapsed="false">
      <c r="A158" s="21"/>
      <c r="B158" s="22" t="str">
        <f aca="false">IF($A158="","",INDEX(Config!$F$2:$F$8,WEEKDAY($A158,2)))</f>
        <v/>
      </c>
      <c r="C158" s="23" t="str">
        <f aca="false">IF($A158="","",EOMONTH($A158,0))</f>
        <v/>
      </c>
      <c r="D158" s="24"/>
      <c r="E158" s="24"/>
      <c r="F158" s="25"/>
      <c r="G158" s="25"/>
      <c r="H158" s="26" t="str">
        <f aca="false">IF(OR($F158="",$G158=""),"",($G158-$F158+IF($G158&lt;$F158,1,0))*24)</f>
        <v/>
      </c>
      <c r="I158" s="27"/>
      <c r="J158" s="28"/>
      <c r="K158" s="29" t="str">
        <f aca="false">IF($J158="","",$J158*Config!$B$5)</f>
        <v/>
      </c>
      <c r="L158" s="28"/>
      <c r="M158" s="27"/>
      <c r="N158" s="28"/>
      <c r="O158" s="29" t="str">
        <f aca="false">IF($M158="","",$M158*Config!$B$6)</f>
        <v/>
      </c>
      <c r="P158" s="28"/>
      <c r="Q158" s="28"/>
      <c r="R158" s="30" t="str">
        <f aca="false">IF($J158="","",$J158-$K158+SUM($L158)-SUM($N158:$Q158))</f>
        <v/>
      </c>
      <c r="S158" s="30" t="str">
        <f aca="false">IF(OR($R158="",$H158="",$H158=0),"",$R158/$H158)</f>
        <v/>
      </c>
      <c r="T158" s="29" t="str">
        <f aca="false">IF(OR($R158="",$M158="",$M158=0),"",$R158/$M158)</f>
        <v/>
      </c>
      <c r="U158" s="26" t="str">
        <f aca="false">IF(OR($H158="",$H158=0,$I158=""),"",$I158/$H158)</f>
        <v/>
      </c>
      <c r="V158" s="24"/>
    </row>
    <row r="159" customFormat="false" ht="15" hidden="false" customHeight="false" outlineLevel="0" collapsed="false">
      <c r="A159" s="21"/>
      <c r="B159" s="22" t="str">
        <f aca="false">IF($A159="","",INDEX(Config!$F$2:$F$8,WEEKDAY($A159,2)))</f>
        <v/>
      </c>
      <c r="C159" s="23" t="str">
        <f aca="false">IF($A159="","",EOMONTH($A159,0))</f>
        <v/>
      </c>
      <c r="D159" s="24"/>
      <c r="E159" s="24"/>
      <c r="F159" s="25"/>
      <c r="G159" s="25"/>
      <c r="H159" s="26" t="str">
        <f aca="false">IF(OR($F159="",$G159=""),"",($G159-$F159+IF($G159&lt;$F159,1,0))*24)</f>
        <v/>
      </c>
      <c r="I159" s="27"/>
      <c r="J159" s="28"/>
      <c r="K159" s="29" t="str">
        <f aca="false">IF($J159="","",$J159*Config!$B$5)</f>
        <v/>
      </c>
      <c r="L159" s="28"/>
      <c r="M159" s="27"/>
      <c r="N159" s="28"/>
      <c r="O159" s="29" t="str">
        <f aca="false">IF($M159="","",$M159*Config!$B$6)</f>
        <v/>
      </c>
      <c r="P159" s="28"/>
      <c r="Q159" s="28"/>
      <c r="R159" s="30" t="str">
        <f aca="false">IF($J159="","",$J159-$K159+SUM($L159)-SUM($N159:$Q159))</f>
        <v/>
      </c>
      <c r="S159" s="30" t="str">
        <f aca="false">IF(OR($R159="",$H159="",$H159=0),"",$R159/$H159)</f>
        <v/>
      </c>
      <c r="T159" s="29" t="str">
        <f aca="false">IF(OR($R159="",$M159="",$M159=0),"",$R159/$M159)</f>
        <v/>
      </c>
      <c r="U159" s="26" t="str">
        <f aca="false">IF(OR($H159="",$H159=0,$I159=""),"",$I159/$H159)</f>
        <v/>
      </c>
      <c r="V159" s="24"/>
    </row>
    <row r="160" customFormat="false" ht="15" hidden="false" customHeight="false" outlineLevel="0" collapsed="false">
      <c r="A160" s="21"/>
      <c r="B160" s="22" t="str">
        <f aca="false">IF($A160="","",INDEX(Config!$F$2:$F$8,WEEKDAY($A160,2)))</f>
        <v/>
      </c>
      <c r="C160" s="23" t="str">
        <f aca="false">IF($A160="","",EOMONTH($A160,0))</f>
        <v/>
      </c>
      <c r="D160" s="24"/>
      <c r="E160" s="24"/>
      <c r="F160" s="25"/>
      <c r="G160" s="25"/>
      <c r="H160" s="26" t="str">
        <f aca="false">IF(OR($F160="",$G160=""),"",($G160-$F160+IF($G160&lt;$F160,1,0))*24)</f>
        <v/>
      </c>
      <c r="I160" s="27"/>
      <c r="J160" s="28"/>
      <c r="K160" s="29" t="str">
        <f aca="false">IF($J160="","",$J160*Config!$B$5)</f>
        <v/>
      </c>
      <c r="L160" s="28"/>
      <c r="M160" s="27"/>
      <c r="N160" s="28"/>
      <c r="O160" s="29" t="str">
        <f aca="false">IF($M160="","",$M160*Config!$B$6)</f>
        <v/>
      </c>
      <c r="P160" s="28"/>
      <c r="Q160" s="28"/>
      <c r="R160" s="30" t="str">
        <f aca="false">IF($J160="","",$J160-$K160+SUM($L160)-SUM($N160:$Q160))</f>
        <v/>
      </c>
      <c r="S160" s="30" t="str">
        <f aca="false">IF(OR($R160="",$H160="",$H160=0),"",$R160/$H160)</f>
        <v/>
      </c>
      <c r="T160" s="29" t="str">
        <f aca="false">IF(OR($R160="",$M160="",$M160=0),"",$R160/$M160)</f>
        <v/>
      </c>
      <c r="U160" s="26" t="str">
        <f aca="false">IF(OR($H160="",$H160=0,$I160=""),"",$I160/$H160)</f>
        <v/>
      </c>
      <c r="V160" s="24"/>
    </row>
    <row r="161" customFormat="false" ht="15" hidden="false" customHeight="false" outlineLevel="0" collapsed="false">
      <c r="A161" s="21"/>
      <c r="B161" s="22" t="str">
        <f aca="false">IF($A161="","",INDEX(Config!$F$2:$F$8,WEEKDAY($A161,2)))</f>
        <v/>
      </c>
      <c r="C161" s="23" t="str">
        <f aca="false">IF($A161="","",EOMONTH($A161,0))</f>
        <v/>
      </c>
      <c r="D161" s="24"/>
      <c r="E161" s="24"/>
      <c r="F161" s="25"/>
      <c r="G161" s="25"/>
      <c r="H161" s="26" t="str">
        <f aca="false">IF(OR($F161="",$G161=""),"",($G161-$F161+IF($G161&lt;$F161,1,0))*24)</f>
        <v/>
      </c>
      <c r="I161" s="27"/>
      <c r="J161" s="28"/>
      <c r="K161" s="29" t="str">
        <f aca="false">IF($J161="","",$J161*Config!$B$5)</f>
        <v/>
      </c>
      <c r="L161" s="28"/>
      <c r="M161" s="27"/>
      <c r="N161" s="28"/>
      <c r="O161" s="29" t="str">
        <f aca="false">IF($M161="","",$M161*Config!$B$6)</f>
        <v/>
      </c>
      <c r="P161" s="28"/>
      <c r="Q161" s="28"/>
      <c r="R161" s="30" t="str">
        <f aca="false">IF($J161="","",$J161-$K161+SUM($L161)-SUM($N161:$Q161))</f>
        <v/>
      </c>
      <c r="S161" s="30" t="str">
        <f aca="false">IF(OR($R161="",$H161="",$H161=0),"",$R161/$H161)</f>
        <v/>
      </c>
      <c r="T161" s="29" t="str">
        <f aca="false">IF(OR($R161="",$M161="",$M161=0),"",$R161/$M161)</f>
        <v/>
      </c>
      <c r="U161" s="26" t="str">
        <f aca="false">IF(OR($H161="",$H161=0,$I161=""),"",$I161/$H161)</f>
        <v/>
      </c>
      <c r="V161" s="24"/>
    </row>
    <row r="162" customFormat="false" ht="15" hidden="false" customHeight="false" outlineLevel="0" collapsed="false">
      <c r="A162" s="21"/>
      <c r="B162" s="22" t="str">
        <f aca="false">IF($A162="","",INDEX(Config!$F$2:$F$8,WEEKDAY($A162,2)))</f>
        <v/>
      </c>
      <c r="C162" s="23" t="str">
        <f aca="false">IF($A162="","",EOMONTH($A162,0))</f>
        <v/>
      </c>
      <c r="D162" s="24"/>
      <c r="E162" s="24"/>
      <c r="F162" s="25"/>
      <c r="G162" s="25"/>
      <c r="H162" s="26" t="str">
        <f aca="false">IF(OR($F162="",$G162=""),"",($G162-$F162+IF($G162&lt;$F162,1,0))*24)</f>
        <v/>
      </c>
      <c r="I162" s="27"/>
      <c r="J162" s="28"/>
      <c r="K162" s="29" t="str">
        <f aca="false">IF($J162="","",$J162*Config!$B$5)</f>
        <v/>
      </c>
      <c r="L162" s="28"/>
      <c r="M162" s="27"/>
      <c r="N162" s="28"/>
      <c r="O162" s="29" t="str">
        <f aca="false">IF($M162="","",$M162*Config!$B$6)</f>
        <v/>
      </c>
      <c r="P162" s="28"/>
      <c r="Q162" s="28"/>
      <c r="R162" s="30" t="str">
        <f aca="false">IF($J162="","",$J162-$K162+SUM($L162)-SUM($N162:$Q162))</f>
        <v/>
      </c>
      <c r="S162" s="30" t="str">
        <f aca="false">IF(OR($R162="",$H162="",$H162=0),"",$R162/$H162)</f>
        <v/>
      </c>
      <c r="T162" s="29" t="str">
        <f aca="false">IF(OR($R162="",$M162="",$M162=0),"",$R162/$M162)</f>
        <v/>
      </c>
      <c r="U162" s="26" t="str">
        <f aca="false">IF(OR($H162="",$H162=0,$I162=""),"",$I162/$H162)</f>
        <v/>
      </c>
      <c r="V162" s="24"/>
    </row>
    <row r="163" customFormat="false" ht="15" hidden="false" customHeight="false" outlineLevel="0" collapsed="false">
      <c r="A163" s="21"/>
      <c r="B163" s="22" t="str">
        <f aca="false">IF($A163="","",INDEX(Config!$F$2:$F$8,WEEKDAY($A163,2)))</f>
        <v/>
      </c>
      <c r="C163" s="23" t="str">
        <f aca="false">IF($A163="","",EOMONTH($A163,0))</f>
        <v/>
      </c>
      <c r="D163" s="24"/>
      <c r="E163" s="24"/>
      <c r="F163" s="25"/>
      <c r="G163" s="25"/>
      <c r="H163" s="26" t="str">
        <f aca="false">IF(OR($F163="",$G163=""),"",($G163-$F163+IF($G163&lt;$F163,1,0))*24)</f>
        <v/>
      </c>
      <c r="I163" s="27"/>
      <c r="J163" s="28"/>
      <c r="K163" s="29" t="str">
        <f aca="false">IF($J163="","",$J163*Config!$B$5)</f>
        <v/>
      </c>
      <c r="L163" s="28"/>
      <c r="M163" s="27"/>
      <c r="N163" s="28"/>
      <c r="O163" s="29" t="str">
        <f aca="false">IF($M163="","",$M163*Config!$B$6)</f>
        <v/>
      </c>
      <c r="P163" s="28"/>
      <c r="Q163" s="28"/>
      <c r="R163" s="30" t="str">
        <f aca="false">IF($J163="","",$J163-$K163+SUM($L163)-SUM($N163:$Q163))</f>
        <v/>
      </c>
      <c r="S163" s="30" t="str">
        <f aca="false">IF(OR($R163="",$H163="",$H163=0),"",$R163/$H163)</f>
        <v/>
      </c>
      <c r="T163" s="29" t="str">
        <f aca="false">IF(OR($R163="",$M163="",$M163=0),"",$R163/$M163)</f>
        <v/>
      </c>
      <c r="U163" s="26" t="str">
        <f aca="false">IF(OR($H163="",$H163=0,$I163=""),"",$I163/$H163)</f>
        <v/>
      </c>
      <c r="V163" s="24"/>
    </row>
    <row r="164" customFormat="false" ht="15" hidden="false" customHeight="false" outlineLevel="0" collapsed="false">
      <c r="A164" s="21"/>
      <c r="B164" s="22" t="str">
        <f aca="false">IF($A164="","",INDEX(Config!$F$2:$F$8,WEEKDAY($A164,2)))</f>
        <v/>
      </c>
      <c r="C164" s="23" t="str">
        <f aca="false">IF($A164="","",EOMONTH($A164,0))</f>
        <v/>
      </c>
      <c r="D164" s="24"/>
      <c r="E164" s="24"/>
      <c r="F164" s="25"/>
      <c r="G164" s="25"/>
      <c r="H164" s="26" t="str">
        <f aca="false">IF(OR($F164="",$G164=""),"",($G164-$F164+IF($G164&lt;$F164,1,0))*24)</f>
        <v/>
      </c>
      <c r="I164" s="27"/>
      <c r="J164" s="28"/>
      <c r="K164" s="29" t="str">
        <f aca="false">IF($J164="","",$J164*Config!$B$5)</f>
        <v/>
      </c>
      <c r="L164" s="28"/>
      <c r="M164" s="27"/>
      <c r="N164" s="28"/>
      <c r="O164" s="29" t="str">
        <f aca="false">IF($M164="","",$M164*Config!$B$6)</f>
        <v/>
      </c>
      <c r="P164" s="28"/>
      <c r="Q164" s="28"/>
      <c r="R164" s="30" t="str">
        <f aca="false">IF($J164="","",$J164-$K164+SUM($L164)-SUM($N164:$Q164))</f>
        <v/>
      </c>
      <c r="S164" s="30" t="str">
        <f aca="false">IF(OR($R164="",$H164="",$H164=0),"",$R164/$H164)</f>
        <v/>
      </c>
      <c r="T164" s="29" t="str">
        <f aca="false">IF(OR($R164="",$M164="",$M164=0),"",$R164/$M164)</f>
        <v/>
      </c>
      <c r="U164" s="26" t="str">
        <f aca="false">IF(OR($H164="",$H164=0,$I164=""),"",$I164/$H164)</f>
        <v/>
      </c>
      <c r="V164" s="24"/>
    </row>
    <row r="165" customFormat="false" ht="15" hidden="false" customHeight="false" outlineLevel="0" collapsed="false">
      <c r="A165" s="21"/>
      <c r="B165" s="22" t="str">
        <f aca="false">IF($A165="","",INDEX(Config!$F$2:$F$8,WEEKDAY($A165,2)))</f>
        <v/>
      </c>
      <c r="C165" s="23" t="str">
        <f aca="false">IF($A165="","",EOMONTH($A165,0))</f>
        <v/>
      </c>
      <c r="D165" s="24"/>
      <c r="E165" s="24"/>
      <c r="F165" s="25"/>
      <c r="G165" s="25"/>
      <c r="H165" s="26" t="str">
        <f aca="false">IF(OR($F165="",$G165=""),"",($G165-$F165+IF($G165&lt;$F165,1,0))*24)</f>
        <v/>
      </c>
      <c r="I165" s="27"/>
      <c r="J165" s="28"/>
      <c r="K165" s="29" t="str">
        <f aca="false">IF($J165="","",$J165*Config!$B$5)</f>
        <v/>
      </c>
      <c r="L165" s="28"/>
      <c r="M165" s="27"/>
      <c r="N165" s="28"/>
      <c r="O165" s="29" t="str">
        <f aca="false">IF($M165="","",$M165*Config!$B$6)</f>
        <v/>
      </c>
      <c r="P165" s="28"/>
      <c r="Q165" s="28"/>
      <c r="R165" s="30" t="str">
        <f aca="false">IF($J165="","",$J165-$K165+SUM($L165)-SUM($N165:$Q165))</f>
        <v/>
      </c>
      <c r="S165" s="30" t="str">
        <f aca="false">IF(OR($R165="",$H165="",$H165=0),"",$R165/$H165)</f>
        <v/>
      </c>
      <c r="T165" s="29" t="str">
        <f aca="false">IF(OR($R165="",$M165="",$M165=0),"",$R165/$M165)</f>
        <v/>
      </c>
      <c r="U165" s="26" t="str">
        <f aca="false">IF(OR($H165="",$H165=0,$I165=""),"",$I165/$H165)</f>
        <v/>
      </c>
      <c r="V165" s="24"/>
    </row>
    <row r="166" customFormat="false" ht="15" hidden="false" customHeight="false" outlineLevel="0" collapsed="false">
      <c r="A166" s="21"/>
      <c r="B166" s="22" t="str">
        <f aca="false">IF($A166="","",INDEX(Config!$F$2:$F$8,WEEKDAY($A166,2)))</f>
        <v/>
      </c>
      <c r="C166" s="23" t="str">
        <f aca="false">IF($A166="","",EOMONTH($A166,0))</f>
        <v/>
      </c>
      <c r="D166" s="24"/>
      <c r="E166" s="24"/>
      <c r="F166" s="25"/>
      <c r="G166" s="25"/>
      <c r="H166" s="26" t="str">
        <f aca="false">IF(OR($F166="",$G166=""),"",($G166-$F166+IF($G166&lt;$F166,1,0))*24)</f>
        <v/>
      </c>
      <c r="I166" s="27"/>
      <c r="J166" s="28"/>
      <c r="K166" s="29" t="str">
        <f aca="false">IF($J166="","",$J166*Config!$B$5)</f>
        <v/>
      </c>
      <c r="L166" s="28"/>
      <c r="M166" s="27"/>
      <c r="N166" s="28"/>
      <c r="O166" s="29" t="str">
        <f aca="false">IF($M166="","",$M166*Config!$B$6)</f>
        <v/>
      </c>
      <c r="P166" s="28"/>
      <c r="Q166" s="28"/>
      <c r="R166" s="30" t="str">
        <f aca="false">IF($J166="","",$J166-$K166+SUM($L166)-SUM($N166:$Q166))</f>
        <v/>
      </c>
      <c r="S166" s="30" t="str">
        <f aca="false">IF(OR($R166="",$H166="",$H166=0),"",$R166/$H166)</f>
        <v/>
      </c>
      <c r="T166" s="29" t="str">
        <f aca="false">IF(OR($R166="",$M166="",$M166=0),"",$R166/$M166)</f>
        <v/>
      </c>
      <c r="U166" s="26" t="str">
        <f aca="false">IF(OR($H166="",$H166=0,$I166=""),"",$I166/$H166)</f>
        <v/>
      </c>
      <c r="V166" s="24"/>
    </row>
    <row r="167" customFormat="false" ht="15" hidden="false" customHeight="false" outlineLevel="0" collapsed="false">
      <c r="A167" s="21"/>
      <c r="B167" s="22" t="str">
        <f aca="false">IF($A167="","",INDEX(Config!$F$2:$F$8,WEEKDAY($A167,2)))</f>
        <v/>
      </c>
      <c r="C167" s="23" t="str">
        <f aca="false">IF($A167="","",EOMONTH($A167,0))</f>
        <v/>
      </c>
      <c r="D167" s="24"/>
      <c r="E167" s="24"/>
      <c r="F167" s="25"/>
      <c r="G167" s="25"/>
      <c r="H167" s="26" t="str">
        <f aca="false">IF(OR($F167="",$G167=""),"",($G167-$F167+IF($G167&lt;$F167,1,0))*24)</f>
        <v/>
      </c>
      <c r="I167" s="27"/>
      <c r="J167" s="28"/>
      <c r="K167" s="29" t="str">
        <f aca="false">IF($J167="","",$J167*Config!$B$5)</f>
        <v/>
      </c>
      <c r="L167" s="28"/>
      <c r="M167" s="27"/>
      <c r="N167" s="28"/>
      <c r="O167" s="29" t="str">
        <f aca="false">IF($M167="","",$M167*Config!$B$6)</f>
        <v/>
      </c>
      <c r="P167" s="28"/>
      <c r="Q167" s="28"/>
      <c r="R167" s="30" t="str">
        <f aca="false">IF($J167="","",$J167-$K167+SUM($L167)-SUM($N167:$Q167))</f>
        <v/>
      </c>
      <c r="S167" s="30" t="str">
        <f aca="false">IF(OR($R167="",$H167="",$H167=0),"",$R167/$H167)</f>
        <v/>
      </c>
      <c r="T167" s="29" t="str">
        <f aca="false">IF(OR($R167="",$M167="",$M167=0),"",$R167/$M167)</f>
        <v/>
      </c>
      <c r="U167" s="26" t="str">
        <f aca="false">IF(OR($H167="",$H167=0,$I167=""),"",$I167/$H167)</f>
        <v/>
      </c>
      <c r="V167" s="24"/>
    </row>
    <row r="168" customFormat="false" ht="15" hidden="false" customHeight="false" outlineLevel="0" collapsed="false">
      <c r="A168" s="21"/>
      <c r="B168" s="22" t="str">
        <f aca="false">IF($A168="","",INDEX(Config!$F$2:$F$8,WEEKDAY($A168,2)))</f>
        <v/>
      </c>
      <c r="C168" s="23" t="str">
        <f aca="false">IF($A168="","",EOMONTH($A168,0))</f>
        <v/>
      </c>
      <c r="D168" s="24"/>
      <c r="E168" s="24"/>
      <c r="F168" s="25"/>
      <c r="G168" s="25"/>
      <c r="H168" s="26" t="str">
        <f aca="false">IF(OR($F168="",$G168=""),"",($G168-$F168+IF($G168&lt;$F168,1,0))*24)</f>
        <v/>
      </c>
      <c r="I168" s="27"/>
      <c r="J168" s="28"/>
      <c r="K168" s="29" t="str">
        <f aca="false">IF($J168="","",$J168*Config!$B$5)</f>
        <v/>
      </c>
      <c r="L168" s="28"/>
      <c r="M168" s="27"/>
      <c r="N168" s="28"/>
      <c r="O168" s="29" t="str">
        <f aca="false">IF($M168="","",$M168*Config!$B$6)</f>
        <v/>
      </c>
      <c r="P168" s="28"/>
      <c r="Q168" s="28"/>
      <c r="R168" s="30" t="str">
        <f aca="false">IF($J168="","",$J168-$K168+SUM($L168)-SUM($N168:$Q168))</f>
        <v/>
      </c>
      <c r="S168" s="30" t="str">
        <f aca="false">IF(OR($R168="",$H168="",$H168=0),"",$R168/$H168)</f>
        <v/>
      </c>
      <c r="T168" s="29" t="str">
        <f aca="false">IF(OR($R168="",$M168="",$M168=0),"",$R168/$M168)</f>
        <v/>
      </c>
      <c r="U168" s="26" t="str">
        <f aca="false">IF(OR($H168="",$H168=0,$I168=""),"",$I168/$H168)</f>
        <v/>
      </c>
      <c r="V168" s="24"/>
    </row>
    <row r="169" customFormat="false" ht="15" hidden="false" customHeight="false" outlineLevel="0" collapsed="false">
      <c r="A169" s="21"/>
      <c r="B169" s="22" t="str">
        <f aca="false">IF($A169="","",INDEX(Config!$F$2:$F$8,WEEKDAY($A169,2)))</f>
        <v/>
      </c>
      <c r="C169" s="23" t="str">
        <f aca="false">IF($A169="","",EOMONTH($A169,0))</f>
        <v/>
      </c>
      <c r="D169" s="24"/>
      <c r="E169" s="24"/>
      <c r="F169" s="25"/>
      <c r="G169" s="25"/>
      <c r="H169" s="26" t="str">
        <f aca="false">IF(OR($F169="",$G169=""),"",($G169-$F169+IF($G169&lt;$F169,1,0))*24)</f>
        <v/>
      </c>
      <c r="I169" s="27"/>
      <c r="J169" s="28"/>
      <c r="K169" s="29" t="str">
        <f aca="false">IF($J169="","",$J169*Config!$B$5)</f>
        <v/>
      </c>
      <c r="L169" s="28"/>
      <c r="M169" s="27"/>
      <c r="N169" s="28"/>
      <c r="O169" s="29" t="str">
        <f aca="false">IF($M169="","",$M169*Config!$B$6)</f>
        <v/>
      </c>
      <c r="P169" s="28"/>
      <c r="Q169" s="28"/>
      <c r="R169" s="30" t="str">
        <f aca="false">IF($J169="","",$J169-$K169+SUM($L169)-SUM($N169:$Q169))</f>
        <v/>
      </c>
      <c r="S169" s="30" t="str">
        <f aca="false">IF(OR($R169="",$H169="",$H169=0),"",$R169/$H169)</f>
        <v/>
      </c>
      <c r="T169" s="29" t="str">
        <f aca="false">IF(OR($R169="",$M169="",$M169=0),"",$R169/$M169)</f>
        <v/>
      </c>
      <c r="U169" s="26" t="str">
        <f aca="false">IF(OR($H169="",$H169=0,$I169=""),"",$I169/$H169)</f>
        <v/>
      </c>
      <c r="V169" s="24"/>
    </row>
    <row r="170" customFormat="false" ht="15" hidden="false" customHeight="false" outlineLevel="0" collapsed="false">
      <c r="A170" s="21"/>
      <c r="B170" s="22" t="str">
        <f aca="false">IF($A170="","",INDEX(Config!$F$2:$F$8,WEEKDAY($A170,2)))</f>
        <v/>
      </c>
      <c r="C170" s="23" t="str">
        <f aca="false">IF($A170="","",EOMONTH($A170,0))</f>
        <v/>
      </c>
      <c r="D170" s="24"/>
      <c r="E170" s="24"/>
      <c r="F170" s="25"/>
      <c r="G170" s="25"/>
      <c r="H170" s="26" t="str">
        <f aca="false">IF(OR($F170="",$G170=""),"",($G170-$F170+IF($G170&lt;$F170,1,0))*24)</f>
        <v/>
      </c>
      <c r="I170" s="27"/>
      <c r="J170" s="28"/>
      <c r="K170" s="29" t="str">
        <f aca="false">IF($J170="","",$J170*Config!$B$5)</f>
        <v/>
      </c>
      <c r="L170" s="28"/>
      <c r="M170" s="27"/>
      <c r="N170" s="28"/>
      <c r="O170" s="29" t="str">
        <f aca="false">IF($M170="","",$M170*Config!$B$6)</f>
        <v/>
      </c>
      <c r="P170" s="28"/>
      <c r="Q170" s="28"/>
      <c r="R170" s="30" t="str">
        <f aca="false">IF($J170="","",$J170-$K170+SUM($L170)-SUM($N170:$Q170))</f>
        <v/>
      </c>
      <c r="S170" s="30" t="str">
        <f aca="false">IF(OR($R170="",$H170="",$H170=0),"",$R170/$H170)</f>
        <v/>
      </c>
      <c r="T170" s="29" t="str">
        <f aca="false">IF(OR($R170="",$M170="",$M170=0),"",$R170/$M170)</f>
        <v/>
      </c>
      <c r="U170" s="26" t="str">
        <f aca="false">IF(OR($H170="",$H170=0,$I170=""),"",$I170/$H170)</f>
        <v/>
      </c>
      <c r="V170" s="24"/>
    </row>
    <row r="171" customFormat="false" ht="15" hidden="false" customHeight="false" outlineLevel="0" collapsed="false">
      <c r="A171" s="21"/>
      <c r="B171" s="22" t="str">
        <f aca="false">IF($A171="","",INDEX(Config!$F$2:$F$8,WEEKDAY($A171,2)))</f>
        <v/>
      </c>
      <c r="C171" s="23" t="str">
        <f aca="false">IF($A171="","",EOMONTH($A171,0))</f>
        <v/>
      </c>
      <c r="D171" s="24"/>
      <c r="E171" s="24"/>
      <c r="F171" s="25"/>
      <c r="G171" s="25"/>
      <c r="H171" s="26" t="str">
        <f aca="false">IF(OR($F171="",$G171=""),"",($G171-$F171+IF($G171&lt;$F171,1,0))*24)</f>
        <v/>
      </c>
      <c r="I171" s="27"/>
      <c r="J171" s="28"/>
      <c r="K171" s="29" t="str">
        <f aca="false">IF($J171="","",$J171*Config!$B$5)</f>
        <v/>
      </c>
      <c r="L171" s="28"/>
      <c r="M171" s="27"/>
      <c r="N171" s="28"/>
      <c r="O171" s="29" t="str">
        <f aca="false">IF($M171="","",$M171*Config!$B$6)</f>
        <v/>
      </c>
      <c r="P171" s="28"/>
      <c r="Q171" s="28"/>
      <c r="R171" s="30" t="str">
        <f aca="false">IF($J171="","",$J171-$K171+SUM($L171)-SUM($N171:$Q171))</f>
        <v/>
      </c>
      <c r="S171" s="30" t="str">
        <f aca="false">IF(OR($R171="",$H171="",$H171=0),"",$R171/$H171)</f>
        <v/>
      </c>
      <c r="T171" s="29" t="str">
        <f aca="false">IF(OR($R171="",$M171="",$M171=0),"",$R171/$M171)</f>
        <v/>
      </c>
      <c r="U171" s="26" t="str">
        <f aca="false">IF(OR($H171="",$H171=0,$I171=""),"",$I171/$H171)</f>
        <v/>
      </c>
      <c r="V171" s="24"/>
    </row>
    <row r="172" customFormat="false" ht="15" hidden="false" customHeight="false" outlineLevel="0" collapsed="false">
      <c r="A172" s="21"/>
      <c r="B172" s="22" t="str">
        <f aca="false">IF($A172="","",INDEX(Config!$F$2:$F$8,WEEKDAY($A172,2)))</f>
        <v/>
      </c>
      <c r="C172" s="23" t="str">
        <f aca="false">IF($A172="","",EOMONTH($A172,0))</f>
        <v/>
      </c>
      <c r="D172" s="24"/>
      <c r="E172" s="24"/>
      <c r="F172" s="25"/>
      <c r="G172" s="25"/>
      <c r="H172" s="26" t="str">
        <f aca="false">IF(OR($F172="",$G172=""),"",($G172-$F172+IF($G172&lt;$F172,1,0))*24)</f>
        <v/>
      </c>
      <c r="I172" s="27"/>
      <c r="J172" s="28"/>
      <c r="K172" s="29" t="str">
        <f aca="false">IF($J172="","",$J172*Config!$B$5)</f>
        <v/>
      </c>
      <c r="L172" s="28"/>
      <c r="M172" s="27"/>
      <c r="N172" s="28"/>
      <c r="O172" s="29" t="str">
        <f aca="false">IF($M172="","",$M172*Config!$B$6)</f>
        <v/>
      </c>
      <c r="P172" s="28"/>
      <c r="Q172" s="28"/>
      <c r="R172" s="30" t="str">
        <f aca="false">IF($J172="","",$J172-$K172+SUM($L172)-SUM($N172:$Q172))</f>
        <v/>
      </c>
      <c r="S172" s="30" t="str">
        <f aca="false">IF(OR($R172="",$H172="",$H172=0),"",$R172/$H172)</f>
        <v/>
      </c>
      <c r="T172" s="29" t="str">
        <f aca="false">IF(OR($R172="",$M172="",$M172=0),"",$R172/$M172)</f>
        <v/>
      </c>
      <c r="U172" s="26" t="str">
        <f aca="false">IF(OR($H172="",$H172=0,$I172=""),"",$I172/$H172)</f>
        <v/>
      </c>
      <c r="V172" s="24"/>
    </row>
    <row r="173" customFormat="false" ht="15" hidden="false" customHeight="false" outlineLevel="0" collapsed="false">
      <c r="A173" s="21"/>
      <c r="B173" s="22" t="str">
        <f aca="false">IF($A173="","",INDEX(Config!$F$2:$F$8,WEEKDAY($A173,2)))</f>
        <v/>
      </c>
      <c r="C173" s="23" t="str">
        <f aca="false">IF($A173="","",EOMONTH($A173,0))</f>
        <v/>
      </c>
      <c r="D173" s="24"/>
      <c r="E173" s="24"/>
      <c r="F173" s="25"/>
      <c r="G173" s="25"/>
      <c r="H173" s="26" t="str">
        <f aca="false">IF(OR($F173="",$G173=""),"",($G173-$F173+IF($G173&lt;$F173,1,0))*24)</f>
        <v/>
      </c>
      <c r="I173" s="27"/>
      <c r="J173" s="28"/>
      <c r="K173" s="29" t="str">
        <f aca="false">IF($J173="","",$J173*Config!$B$5)</f>
        <v/>
      </c>
      <c r="L173" s="28"/>
      <c r="M173" s="27"/>
      <c r="N173" s="28"/>
      <c r="O173" s="29" t="str">
        <f aca="false">IF($M173="","",$M173*Config!$B$6)</f>
        <v/>
      </c>
      <c r="P173" s="28"/>
      <c r="Q173" s="28"/>
      <c r="R173" s="30" t="str">
        <f aca="false">IF($J173="","",$J173-$K173+SUM($L173)-SUM($N173:$Q173))</f>
        <v/>
      </c>
      <c r="S173" s="30" t="str">
        <f aca="false">IF(OR($R173="",$H173="",$H173=0),"",$R173/$H173)</f>
        <v/>
      </c>
      <c r="T173" s="29" t="str">
        <f aca="false">IF(OR($R173="",$M173="",$M173=0),"",$R173/$M173)</f>
        <v/>
      </c>
      <c r="U173" s="26" t="str">
        <f aca="false">IF(OR($H173="",$H173=0,$I173=""),"",$I173/$H173)</f>
        <v/>
      </c>
      <c r="V173" s="24"/>
    </row>
    <row r="174" customFormat="false" ht="15" hidden="false" customHeight="false" outlineLevel="0" collapsed="false">
      <c r="A174" s="21"/>
      <c r="B174" s="22" t="str">
        <f aca="false">IF($A174="","",INDEX(Config!$F$2:$F$8,WEEKDAY($A174,2)))</f>
        <v/>
      </c>
      <c r="C174" s="23" t="str">
        <f aca="false">IF($A174="","",EOMONTH($A174,0))</f>
        <v/>
      </c>
      <c r="D174" s="24"/>
      <c r="E174" s="24"/>
      <c r="F174" s="25"/>
      <c r="G174" s="25"/>
      <c r="H174" s="26" t="str">
        <f aca="false">IF(OR($F174="",$G174=""),"",($G174-$F174+IF($G174&lt;$F174,1,0))*24)</f>
        <v/>
      </c>
      <c r="I174" s="27"/>
      <c r="J174" s="28"/>
      <c r="K174" s="29" t="str">
        <f aca="false">IF($J174="","",$J174*Config!$B$5)</f>
        <v/>
      </c>
      <c r="L174" s="28"/>
      <c r="M174" s="27"/>
      <c r="N174" s="28"/>
      <c r="O174" s="29" t="str">
        <f aca="false">IF($M174="","",$M174*Config!$B$6)</f>
        <v/>
      </c>
      <c r="P174" s="28"/>
      <c r="Q174" s="28"/>
      <c r="R174" s="30" t="str">
        <f aca="false">IF($J174="","",$J174-$K174+SUM($L174)-SUM($N174:$Q174))</f>
        <v/>
      </c>
      <c r="S174" s="30" t="str">
        <f aca="false">IF(OR($R174="",$H174="",$H174=0),"",$R174/$H174)</f>
        <v/>
      </c>
      <c r="T174" s="29" t="str">
        <f aca="false">IF(OR($R174="",$M174="",$M174=0),"",$R174/$M174)</f>
        <v/>
      </c>
      <c r="U174" s="26" t="str">
        <f aca="false">IF(OR($H174="",$H174=0,$I174=""),"",$I174/$H174)</f>
        <v/>
      </c>
      <c r="V174" s="24"/>
    </row>
    <row r="175" customFormat="false" ht="15" hidden="false" customHeight="false" outlineLevel="0" collapsed="false">
      <c r="A175" s="21"/>
      <c r="B175" s="22" t="str">
        <f aca="false">IF($A175="","",INDEX(Config!$F$2:$F$8,WEEKDAY($A175,2)))</f>
        <v/>
      </c>
      <c r="C175" s="23" t="str">
        <f aca="false">IF($A175="","",EOMONTH($A175,0))</f>
        <v/>
      </c>
      <c r="D175" s="24"/>
      <c r="E175" s="24"/>
      <c r="F175" s="25"/>
      <c r="G175" s="25"/>
      <c r="H175" s="26" t="str">
        <f aca="false">IF(OR($F175="",$G175=""),"",($G175-$F175+IF($G175&lt;$F175,1,0))*24)</f>
        <v/>
      </c>
      <c r="I175" s="27"/>
      <c r="J175" s="28"/>
      <c r="K175" s="29" t="str">
        <f aca="false">IF($J175="","",$J175*Config!$B$5)</f>
        <v/>
      </c>
      <c r="L175" s="28"/>
      <c r="M175" s="27"/>
      <c r="N175" s="28"/>
      <c r="O175" s="29" t="str">
        <f aca="false">IF($M175="","",$M175*Config!$B$6)</f>
        <v/>
      </c>
      <c r="P175" s="28"/>
      <c r="Q175" s="28"/>
      <c r="R175" s="30" t="str">
        <f aca="false">IF($J175="","",$J175-$K175+SUM($L175)-SUM($N175:$Q175))</f>
        <v/>
      </c>
      <c r="S175" s="30" t="str">
        <f aca="false">IF(OR($R175="",$H175="",$H175=0),"",$R175/$H175)</f>
        <v/>
      </c>
      <c r="T175" s="29" t="str">
        <f aca="false">IF(OR($R175="",$M175="",$M175=0),"",$R175/$M175)</f>
        <v/>
      </c>
      <c r="U175" s="26" t="str">
        <f aca="false">IF(OR($H175="",$H175=0,$I175=""),"",$I175/$H175)</f>
        <v/>
      </c>
      <c r="V175" s="24"/>
    </row>
    <row r="176" customFormat="false" ht="15" hidden="false" customHeight="false" outlineLevel="0" collapsed="false">
      <c r="A176" s="21"/>
      <c r="B176" s="22" t="str">
        <f aca="false">IF($A176="","",INDEX(Config!$F$2:$F$8,WEEKDAY($A176,2)))</f>
        <v/>
      </c>
      <c r="C176" s="23" t="str">
        <f aca="false">IF($A176="","",EOMONTH($A176,0))</f>
        <v/>
      </c>
      <c r="D176" s="24"/>
      <c r="E176" s="24"/>
      <c r="F176" s="25"/>
      <c r="G176" s="25"/>
      <c r="H176" s="26" t="str">
        <f aca="false">IF(OR($F176="",$G176=""),"",($G176-$F176+IF($G176&lt;$F176,1,0))*24)</f>
        <v/>
      </c>
      <c r="I176" s="27"/>
      <c r="J176" s="28"/>
      <c r="K176" s="29" t="str">
        <f aca="false">IF($J176="","",$J176*Config!$B$5)</f>
        <v/>
      </c>
      <c r="L176" s="28"/>
      <c r="M176" s="27"/>
      <c r="N176" s="28"/>
      <c r="O176" s="29" t="str">
        <f aca="false">IF($M176="","",$M176*Config!$B$6)</f>
        <v/>
      </c>
      <c r="P176" s="28"/>
      <c r="Q176" s="28"/>
      <c r="R176" s="30" t="str">
        <f aca="false">IF($J176="","",$J176-$K176+SUM($L176)-SUM($N176:$Q176))</f>
        <v/>
      </c>
      <c r="S176" s="30" t="str">
        <f aca="false">IF(OR($R176="",$H176="",$H176=0),"",$R176/$H176)</f>
        <v/>
      </c>
      <c r="T176" s="29" t="str">
        <f aca="false">IF(OR($R176="",$M176="",$M176=0),"",$R176/$M176)</f>
        <v/>
      </c>
      <c r="U176" s="26" t="str">
        <f aca="false">IF(OR($H176="",$H176=0,$I176=""),"",$I176/$H176)</f>
        <v/>
      </c>
      <c r="V176" s="24"/>
    </row>
    <row r="177" customFormat="false" ht="15" hidden="false" customHeight="false" outlineLevel="0" collapsed="false">
      <c r="A177" s="21"/>
      <c r="B177" s="22" t="str">
        <f aca="false">IF($A177="","",INDEX(Config!$F$2:$F$8,WEEKDAY($A177,2)))</f>
        <v/>
      </c>
      <c r="C177" s="23" t="str">
        <f aca="false">IF($A177="","",EOMONTH($A177,0))</f>
        <v/>
      </c>
      <c r="D177" s="24"/>
      <c r="E177" s="24"/>
      <c r="F177" s="25"/>
      <c r="G177" s="25"/>
      <c r="H177" s="26" t="str">
        <f aca="false">IF(OR($F177="",$G177=""),"",($G177-$F177+IF($G177&lt;$F177,1,0))*24)</f>
        <v/>
      </c>
      <c r="I177" s="27"/>
      <c r="J177" s="28"/>
      <c r="K177" s="29" t="str">
        <f aca="false">IF($J177="","",$J177*Config!$B$5)</f>
        <v/>
      </c>
      <c r="L177" s="28"/>
      <c r="M177" s="27"/>
      <c r="N177" s="28"/>
      <c r="O177" s="29" t="str">
        <f aca="false">IF($M177="","",$M177*Config!$B$6)</f>
        <v/>
      </c>
      <c r="P177" s="28"/>
      <c r="Q177" s="28"/>
      <c r="R177" s="30" t="str">
        <f aca="false">IF($J177="","",$J177-$K177+SUM($L177)-SUM($N177:$Q177))</f>
        <v/>
      </c>
      <c r="S177" s="30" t="str">
        <f aca="false">IF(OR($R177="",$H177="",$H177=0),"",$R177/$H177)</f>
        <v/>
      </c>
      <c r="T177" s="29" t="str">
        <f aca="false">IF(OR($R177="",$M177="",$M177=0),"",$R177/$M177)</f>
        <v/>
      </c>
      <c r="U177" s="26" t="str">
        <f aca="false">IF(OR($H177="",$H177=0,$I177=""),"",$I177/$H177)</f>
        <v/>
      </c>
      <c r="V177" s="24"/>
    </row>
    <row r="178" customFormat="false" ht="15" hidden="false" customHeight="false" outlineLevel="0" collapsed="false">
      <c r="A178" s="21"/>
      <c r="B178" s="22" t="str">
        <f aca="false">IF($A178="","",INDEX(Config!$F$2:$F$8,WEEKDAY($A178,2)))</f>
        <v/>
      </c>
      <c r="C178" s="23" t="str">
        <f aca="false">IF($A178="","",EOMONTH($A178,0))</f>
        <v/>
      </c>
      <c r="D178" s="24"/>
      <c r="E178" s="24"/>
      <c r="F178" s="25"/>
      <c r="G178" s="25"/>
      <c r="H178" s="26" t="str">
        <f aca="false">IF(OR($F178="",$G178=""),"",($G178-$F178+IF($G178&lt;$F178,1,0))*24)</f>
        <v/>
      </c>
      <c r="I178" s="27"/>
      <c r="J178" s="28"/>
      <c r="K178" s="29" t="str">
        <f aca="false">IF($J178="","",$J178*Config!$B$5)</f>
        <v/>
      </c>
      <c r="L178" s="28"/>
      <c r="M178" s="27"/>
      <c r="N178" s="28"/>
      <c r="O178" s="29" t="str">
        <f aca="false">IF($M178="","",$M178*Config!$B$6)</f>
        <v/>
      </c>
      <c r="P178" s="28"/>
      <c r="Q178" s="28"/>
      <c r="R178" s="30" t="str">
        <f aca="false">IF($J178="","",$J178-$K178+SUM($L178)-SUM($N178:$Q178))</f>
        <v/>
      </c>
      <c r="S178" s="30" t="str">
        <f aca="false">IF(OR($R178="",$H178="",$H178=0),"",$R178/$H178)</f>
        <v/>
      </c>
      <c r="T178" s="29" t="str">
        <f aca="false">IF(OR($R178="",$M178="",$M178=0),"",$R178/$M178)</f>
        <v/>
      </c>
      <c r="U178" s="26" t="str">
        <f aca="false">IF(OR($H178="",$H178=0,$I178=""),"",$I178/$H178)</f>
        <v/>
      </c>
      <c r="V178" s="24"/>
    </row>
    <row r="179" customFormat="false" ht="15" hidden="false" customHeight="false" outlineLevel="0" collapsed="false">
      <c r="A179" s="21"/>
      <c r="B179" s="22" t="str">
        <f aca="false">IF($A179="","",INDEX(Config!$F$2:$F$8,WEEKDAY($A179,2)))</f>
        <v/>
      </c>
      <c r="C179" s="23" t="str">
        <f aca="false">IF($A179="","",EOMONTH($A179,0))</f>
        <v/>
      </c>
      <c r="D179" s="24"/>
      <c r="E179" s="24"/>
      <c r="F179" s="25"/>
      <c r="G179" s="25"/>
      <c r="H179" s="26" t="str">
        <f aca="false">IF(OR($F179="",$G179=""),"",($G179-$F179+IF($G179&lt;$F179,1,0))*24)</f>
        <v/>
      </c>
      <c r="I179" s="27"/>
      <c r="J179" s="28"/>
      <c r="K179" s="29" t="str">
        <f aca="false">IF($J179="","",$J179*Config!$B$5)</f>
        <v/>
      </c>
      <c r="L179" s="28"/>
      <c r="M179" s="27"/>
      <c r="N179" s="28"/>
      <c r="O179" s="29" t="str">
        <f aca="false">IF($M179="","",$M179*Config!$B$6)</f>
        <v/>
      </c>
      <c r="P179" s="28"/>
      <c r="Q179" s="28"/>
      <c r="R179" s="30" t="str">
        <f aca="false">IF($J179="","",$J179-$K179+SUM($L179)-SUM($N179:$Q179))</f>
        <v/>
      </c>
      <c r="S179" s="30" t="str">
        <f aca="false">IF(OR($R179="",$H179="",$H179=0),"",$R179/$H179)</f>
        <v/>
      </c>
      <c r="T179" s="29" t="str">
        <f aca="false">IF(OR($R179="",$M179="",$M179=0),"",$R179/$M179)</f>
        <v/>
      </c>
      <c r="U179" s="26" t="str">
        <f aca="false">IF(OR($H179="",$H179=0,$I179=""),"",$I179/$H179)</f>
        <v/>
      </c>
      <c r="V179" s="24"/>
    </row>
    <row r="180" customFormat="false" ht="15" hidden="false" customHeight="false" outlineLevel="0" collapsed="false">
      <c r="A180" s="21"/>
      <c r="B180" s="22" t="str">
        <f aca="false">IF($A180="","",INDEX(Config!$F$2:$F$8,WEEKDAY($A180,2)))</f>
        <v/>
      </c>
      <c r="C180" s="23" t="str">
        <f aca="false">IF($A180="","",EOMONTH($A180,0))</f>
        <v/>
      </c>
      <c r="D180" s="24"/>
      <c r="E180" s="24"/>
      <c r="F180" s="25"/>
      <c r="G180" s="25"/>
      <c r="H180" s="26" t="str">
        <f aca="false">IF(OR($F180="",$G180=""),"",($G180-$F180+IF($G180&lt;$F180,1,0))*24)</f>
        <v/>
      </c>
      <c r="I180" s="27"/>
      <c r="J180" s="28"/>
      <c r="K180" s="29" t="str">
        <f aca="false">IF($J180="","",$J180*Config!$B$5)</f>
        <v/>
      </c>
      <c r="L180" s="28"/>
      <c r="M180" s="27"/>
      <c r="N180" s="28"/>
      <c r="O180" s="29" t="str">
        <f aca="false">IF($M180="","",$M180*Config!$B$6)</f>
        <v/>
      </c>
      <c r="P180" s="28"/>
      <c r="Q180" s="28"/>
      <c r="R180" s="30" t="str">
        <f aca="false">IF($J180="","",$J180-$K180+SUM($L180)-SUM($N180:$Q180))</f>
        <v/>
      </c>
      <c r="S180" s="30" t="str">
        <f aca="false">IF(OR($R180="",$H180="",$H180=0),"",$R180/$H180)</f>
        <v/>
      </c>
      <c r="T180" s="29" t="str">
        <f aca="false">IF(OR($R180="",$M180="",$M180=0),"",$R180/$M180)</f>
        <v/>
      </c>
      <c r="U180" s="26" t="str">
        <f aca="false">IF(OR($H180="",$H180=0,$I180=""),"",$I180/$H180)</f>
        <v/>
      </c>
      <c r="V180" s="24"/>
    </row>
    <row r="181" customFormat="false" ht="15" hidden="false" customHeight="false" outlineLevel="0" collapsed="false">
      <c r="A181" s="21"/>
      <c r="B181" s="22" t="str">
        <f aca="false">IF($A181="","",INDEX(Config!$F$2:$F$8,WEEKDAY($A181,2)))</f>
        <v/>
      </c>
      <c r="C181" s="23" t="str">
        <f aca="false">IF($A181="","",EOMONTH($A181,0))</f>
        <v/>
      </c>
      <c r="D181" s="24"/>
      <c r="E181" s="24"/>
      <c r="F181" s="25"/>
      <c r="G181" s="25"/>
      <c r="H181" s="26" t="str">
        <f aca="false">IF(OR($F181="",$G181=""),"",($G181-$F181+IF($G181&lt;$F181,1,0))*24)</f>
        <v/>
      </c>
      <c r="I181" s="27"/>
      <c r="J181" s="28"/>
      <c r="K181" s="29" t="str">
        <f aca="false">IF($J181="","",$J181*Config!$B$5)</f>
        <v/>
      </c>
      <c r="L181" s="28"/>
      <c r="M181" s="27"/>
      <c r="N181" s="28"/>
      <c r="O181" s="29" t="str">
        <f aca="false">IF($M181="","",$M181*Config!$B$6)</f>
        <v/>
      </c>
      <c r="P181" s="28"/>
      <c r="Q181" s="28"/>
      <c r="R181" s="30" t="str">
        <f aca="false">IF($J181="","",$J181-$K181+SUM($L181)-SUM($N181:$Q181))</f>
        <v/>
      </c>
      <c r="S181" s="30" t="str">
        <f aca="false">IF(OR($R181="",$H181="",$H181=0),"",$R181/$H181)</f>
        <v/>
      </c>
      <c r="T181" s="29" t="str">
        <f aca="false">IF(OR($R181="",$M181="",$M181=0),"",$R181/$M181)</f>
        <v/>
      </c>
      <c r="U181" s="26" t="str">
        <f aca="false">IF(OR($H181="",$H181=0,$I181=""),"",$I181/$H181)</f>
        <v/>
      </c>
      <c r="V181" s="24"/>
    </row>
    <row r="182" customFormat="false" ht="15" hidden="false" customHeight="false" outlineLevel="0" collapsed="false">
      <c r="A182" s="21"/>
      <c r="B182" s="22" t="str">
        <f aca="false">IF($A182="","",INDEX(Config!$F$2:$F$8,WEEKDAY($A182,2)))</f>
        <v/>
      </c>
      <c r="C182" s="23" t="str">
        <f aca="false">IF($A182="","",EOMONTH($A182,0))</f>
        <v/>
      </c>
      <c r="D182" s="24"/>
      <c r="E182" s="24"/>
      <c r="F182" s="25"/>
      <c r="G182" s="25"/>
      <c r="H182" s="26" t="str">
        <f aca="false">IF(OR($F182="",$G182=""),"",($G182-$F182+IF($G182&lt;$F182,1,0))*24)</f>
        <v/>
      </c>
      <c r="I182" s="27"/>
      <c r="J182" s="28"/>
      <c r="K182" s="29" t="str">
        <f aca="false">IF($J182="","",$J182*Config!$B$5)</f>
        <v/>
      </c>
      <c r="L182" s="28"/>
      <c r="M182" s="27"/>
      <c r="N182" s="28"/>
      <c r="O182" s="29" t="str">
        <f aca="false">IF($M182="","",$M182*Config!$B$6)</f>
        <v/>
      </c>
      <c r="P182" s="28"/>
      <c r="Q182" s="28"/>
      <c r="R182" s="30" t="str">
        <f aca="false">IF($J182="","",$J182-$K182+SUM($L182)-SUM($N182:$Q182))</f>
        <v/>
      </c>
      <c r="S182" s="30" t="str">
        <f aca="false">IF(OR($R182="",$H182="",$H182=0),"",$R182/$H182)</f>
        <v/>
      </c>
      <c r="T182" s="29" t="str">
        <f aca="false">IF(OR($R182="",$M182="",$M182=0),"",$R182/$M182)</f>
        <v/>
      </c>
      <c r="U182" s="26" t="str">
        <f aca="false">IF(OR($H182="",$H182=0,$I182=""),"",$I182/$H182)</f>
        <v/>
      </c>
      <c r="V182" s="24"/>
    </row>
    <row r="183" customFormat="false" ht="15" hidden="false" customHeight="false" outlineLevel="0" collapsed="false">
      <c r="A183" s="21"/>
      <c r="B183" s="22" t="str">
        <f aca="false">IF($A183="","",INDEX(Config!$F$2:$F$8,WEEKDAY($A183,2)))</f>
        <v/>
      </c>
      <c r="C183" s="23" t="str">
        <f aca="false">IF($A183="","",EOMONTH($A183,0))</f>
        <v/>
      </c>
      <c r="D183" s="24"/>
      <c r="E183" s="24"/>
      <c r="F183" s="25"/>
      <c r="G183" s="25"/>
      <c r="H183" s="26" t="str">
        <f aca="false">IF(OR($F183="",$G183=""),"",($G183-$F183+IF($G183&lt;$F183,1,0))*24)</f>
        <v/>
      </c>
      <c r="I183" s="27"/>
      <c r="J183" s="28"/>
      <c r="K183" s="29" t="str">
        <f aca="false">IF($J183="","",$J183*Config!$B$5)</f>
        <v/>
      </c>
      <c r="L183" s="28"/>
      <c r="M183" s="27"/>
      <c r="N183" s="28"/>
      <c r="O183" s="29" t="str">
        <f aca="false">IF($M183="","",$M183*Config!$B$6)</f>
        <v/>
      </c>
      <c r="P183" s="28"/>
      <c r="Q183" s="28"/>
      <c r="R183" s="30" t="str">
        <f aca="false">IF($J183="","",$J183-$K183+SUM($L183)-SUM($N183:$Q183))</f>
        <v/>
      </c>
      <c r="S183" s="30" t="str">
        <f aca="false">IF(OR($R183="",$H183="",$H183=0),"",$R183/$H183)</f>
        <v/>
      </c>
      <c r="T183" s="29" t="str">
        <f aca="false">IF(OR($R183="",$M183="",$M183=0),"",$R183/$M183)</f>
        <v/>
      </c>
      <c r="U183" s="26" t="str">
        <f aca="false">IF(OR($H183="",$H183=0,$I183=""),"",$I183/$H183)</f>
        <v/>
      </c>
      <c r="V183" s="24"/>
    </row>
    <row r="184" customFormat="false" ht="15" hidden="false" customHeight="false" outlineLevel="0" collapsed="false">
      <c r="A184" s="21"/>
      <c r="B184" s="22" t="str">
        <f aca="false">IF($A184="","",INDEX(Config!$F$2:$F$8,WEEKDAY($A184,2)))</f>
        <v/>
      </c>
      <c r="C184" s="23" t="str">
        <f aca="false">IF($A184="","",EOMONTH($A184,0))</f>
        <v/>
      </c>
      <c r="D184" s="24"/>
      <c r="E184" s="24"/>
      <c r="F184" s="25"/>
      <c r="G184" s="25"/>
      <c r="H184" s="26" t="str">
        <f aca="false">IF(OR($F184="",$G184=""),"",($G184-$F184+IF($G184&lt;$F184,1,0))*24)</f>
        <v/>
      </c>
      <c r="I184" s="27"/>
      <c r="J184" s="28"/>
      <c r="K184" s="29" t="str">
        <f aca="false">IF($J184="","",$J184*Config!$B$5)</f>
        <v/>
      </c>
      <c r="L184" s="28"/>
      <c r="M184" s="27"/>
      <c r="N184" s="28"/>
      <c r="O184" s="29" t="str">
        <f aca="false">IF($M184="","",$M184*Config!$B$6)</f>
        <v/>
      </c>
      <c r="P184" s="28"/>
      <c r="Q184" s="28"/>
      <c r="R184" s="30" t="str">
        <f aca="false">IF($J184="","",$J184-$K184+SUM($L184)-SUM($N184:$Q184))</f>
        <v/>
      </c>
      <c r="S184" s="30" t="str">
        <f aca="false">IF(OR($R184="",$H184="",$H184=0),"",$R184/$H184)</f>
        <v/>
      </c>
      <c r="T184" s="29" t="str">
        <f aca="false">IF(OR($R184="",$M184="",$M184=0),"",$R184/$M184)</f>
        <v/>
      </c>
      <c r="U184" s="26" t="str">
        <f aca="false">IF(OR($H184="",$H184=0,$I184=""),"",$I184/$H184)</f>
        <v/>
      </c>
      <c r="V184" s="24"/>
    </row>
    <row r="185" customFormat="false" ht="15" hidden="false" customHeight="false" outlineLevel="0" collapsed="false">
      <c r="A185" s="21"/>
      <c r="B185" s="22" t="str">
        <f aca="false">IF($A185="","",INDEX(Config!$F$2:$F$8,WEEKDAY($A185,2)))</f>
        <v/>
      </c>
      <c r="C185" s="23" t="str">
        <f aca="false">IF($A185="","",EOMONTH($A185,0))</f>
        <v/>
      </c>
      <c r="D185" s="24"/>
      <c r="E185" s="24"/>
      <c r="F185" s="25"/>
      <c r="G185" s="25"/>
      <c r="H185" s="26" t="str">
        <f aca="false">IF(OR($F185="",$G185=""),"",($G185-$F185+IF($G185&lt;$F185,1,0))*24)</f>
        <v/>
      </c>
      <c r="I185" s="27"/>
      <c r="J185" s="28"/>
      <c r="K185" s="29" t="str">
        <f aca="false">IF($J185="","",$J185*Config!$B$5)</f>
        <v/>
      </c>
      <c r="L185" s="28"/>
      <c r="M185" s="27"/>
      <c r="N185" s="28"/>
      <c r="O185" s="29" t="str">
        <f aca="false">IF($M185="","",$M185*Config!$B$6)</f>
        <v/>
      </c>
      <c r="P185" s="28"/>
      <c r="Q185" s="28"/>
      <c r="R185" s="30" t="str">
        <f aca="false">IF($J185="","",$J185-$K185+SUM($L185)-SUM($N185:$Q185))</f>
        <v/>
      </c>
      <c r="S185" s="30" t="str">
        <f aca="false">IF(OR($R185="",$H185="",$H185=0),"",$R185/$H185)</f>
        <v/>
      </c>
      <c r="T185" s="29" t="str">
        <f aca="false">IF(OR($R185="",$M185="",$M185=0),"",$R185/$M185)</f>
        <v/>
      </c>
      <c r="U185" s="26" t="str">
        <f aca="false">IF(OR($H185="",$H185=0,$I185=""),"",$I185/$H185)</f>
        <v/>
      </c>
      <c r="V185" s="24"/>
    </row>
    <row r="186" customFormat="false" ht="15" hidden="false" customHeight="false" outlineLevel="0" collapsed="false">
      <c r="A186" s="21"/>
      <c r="B186" s="22" t="str">
        <f aca="false">IF($A186="","",INDEX(Config!$F$2:$F$8,WEEKDAY($A186,2)))</f>
        <v/>
      </c>
      <c r="C186" s="23" t="str">
        <f aca="false">IF($A186="","",EOMONTH($A186,0))</f>
        <v/>
      </c>
      <c r="D186" s="24"/>
      <c r="E186" s="24"/>
      <c r="F186" s="25"/>
      <c r="G186" s="25"/>
      <c r="H186" s="26" t="str">
        <f aca="false">IF(OR($F186="",$G186=""),"",($G186-$F186+IF($G186&lt;$F186,1,0))*24)</f>
        <v/>
      </c>
      <c r="I186" s="27"/>
      <c r="J186" s="28"/>
      <c r="K186" s="29" t="str">
        <f aca="false">IF($J186="","",$J186*Config!$B$5)</f>
        <v/>
      </c>
      <c r="L186" s="28"/>
      <c r="M186" s="27"/>
      <c r="N186" s="28"/>
      <c r="O186" s="29" t="str">
        <f aca="false">IF($M186="","",$M186*Config!$B$6)</f>
        <v/>
      </c>
      <c r="P186" s="28"/>
      <c r="Q186" s="28"/>
      <c r="R186" s="30" t="str">
        <f aca="false">IF($J186="","",$J186-$K186+SUM($L186)-SUM($N186:$Q186))</f>
        <v/>
      </c>
      <c r="S186" s="30" t="str">
        <f aca="false">IF(OR($R186="",$H186="",$H186=0),"",$R186/$H186)</f>
        <v/>
      </c>
      <c r="T186" s="29" t="str">
        <f aca="false">IF(OR($R186="",$M186="",$M186=0),"",$R186/$M186)</f>
        <v/>
      </c>
      <c r="U186" s="26" t="str">
        <f aca="false">IF(OR($H186="",$H186=0,$I186=""),"",$I186/$H186)</f>
        <v/>
      </c>
      <c r="V186" s="24"/>
    </row>
    <row r="187" customFormat="false" ht="15" hidden="false" customHeight="false" outlineLevel="0" collapsed="false">
      <c r="A187" s="21"/>
      <c r="B187" s="22" t="str">
        <f aca="false">IF($A187="","",INDEX(Config!$F$2:$F$8,WEEKDAY($A187,2)))</f>
        <v/>
      </c>
      <c r="C187" s="23" t="str">
        <f aca="false">IF($A187="","",EOMONTH($A187,0))</f>
        <v/>
      </c>
      <c r="D187" s="24"/>
      <c r="E187" s="24"/>
      <c r="F187" s="25"/>
      <c r="G187" s="25"/>
      <c r="H187" s="26" t="str">
        <f aca="false">IF(OR($F187="",$G187=""),"",($G187-$F187+IF($G187&lt;$F187,1,0))*24)</f>
        <v/>
      </c>
      <c r="I187" s="27"/>
      <c r="J187" s="28"/>
      <c r="K187" s="29" t="str">
        <f aca="false">IF($J187="","",$J187*Config!$B$5)</f>
        <v/>
      </c>
      <c r="L187" s="28"/>
      <c r="M187" s="27"/>
      <c r="N187" s="28"/>
      <c r="O187" s="29" t="str">
        <f aca="false">IF($M187="","",$M187*Config!$B$6)</f>
        <v/>
      </c>
      <c r="P187" s="28"/>
      <c r="Q187" s="28"/>
      <c r="R187" s="30" t="str">
        <f aca="false">IF($J187="","",$J187-$K187+SUM($L187)-SUM($N187:$Q187))</f>
        <v/>
      </c>
      <c r="S187" s="30" t="str">
        <f aca="false">IF(OR($R187="",$H187="",$H187=0),"",$R187/$H187)</f>
        <v/>
      </c>
      <c r="T187" s="29" t="str">
        <f aca="false">IF(OR($R187="",$M187="",$M187=0),"",$R187/$M187)</f>
        <v/>
      </c>
      <c r="U187" s="26" t="str">
        <f aca="false">IF(OR($H187="",$H187=0,$I187=""),"",$I187/$H187)</f>
        <v/>
      </c>
      <c r="V187" s="24"/>
    </row>
    <row r="188" customFormat="false" ht="15" hidden="false" customHeight="false" outlineLevel="0" collapsed="false">
      <c r="A188" s="21"/>
      <c r="B188" s="22" t="str">
        <f aca="false">IF($A188="","",INDEX(Config!$F$2:$F$8,WEEKDAY($A188,2)))</f>
        <v/>
      </c>
      <c r="C188" s="23" t="str">
        <f aca="false">IF($A188="","",EOMONTH($A188,0))</f>
        <v/>
      </c>
      <c r="D188" s="24"/>
      <c r="E188" s="24"/>
      <c r="F188" s="25"/>
      <c r="G188" s="25"/>
      <c r="H188" s="26" t="str">
        <f aca="false">IF(OR($F188="",$G188=""),"",($G188-$F188+IF($G188&lt;$F188,1,0))*24)</f>
        <v/>
      </c>
      <c r="I188" s="27"/>
      <c r="J188" s="28"/>
      <c r="K188" s="29" t="str">
        <f aca="false">IF($J188="","",$J188*Config!$B$5)</f>
        <v/>
      </c>
      <c r="L188" s="28"/>
      <c r="M188" s="27"/>
      <c r="N188" s="28"/>
      <c r="O188" s="29" t="str">
        <f aca="false">IF($M188="","",$M188*Config!$B$6)</f>
        <v/>
      </c>
      <c r="P188" s="28"/>
      <c r="Q188" s="28"/>
      <c r="R188" s="30" t="str">
        <f aca="false">IF($J188="","",$J188-$K188+SUM($L188)-SUM($N188:$Q188))</f>
        <v/>
      </c>
      <c r="S188" s="30" t="str">
        <f aca="false">IF(OR($R188="",$H188="",$H188=0),"",$R188/$H188)</f>
        <v/>
      </c>
      <c r="T188" s="29" t="str">
        <f aca="false">IF(OR($R188="",$M188="",$M188=0),"",$R188/$M188)</f>
        <v/>
      </c>
      <c r="U188" s="26" t="str">
        <f aca="false">IF(OR($H188="",$H188=0,$I188=""),"",$I188/$H188)</f>
        <v/>
      </c>
      <c r="V188" s="24"/>
    </row>
    <row r="189" customFormat="false" ht="15" hidden="false" customHeight="false" outlineLevel="0" collapsed="false">
      <c r="A189" s="21"/>
      <c r="B189" s="22" t="str">
        <f aca="false">IF($A189="","",INDEX(Config!$F$2:$F$8,WEEKDAY($A189,2)))</f>
        <v/>
      </c>
      <c r="C189" s="23" t="str">
        <f aca="false">IF($A189="","",EOMONTH($A189,0))</f>
        <v/>
      </c>
      <c r="D189" s="24"/>
      <c r="E189" s="24"/>
      <c r="F189" s="25"/>
      <c r="G189" s="25"/>
      <c r="H189" s="26" t="str">
        <f aca="false">IF(OR($F189="",$G189=""),"",($G189-$F189+IF($G189&lt;$F189,1,0))*24)</f>
        <v/>
      </c>
      <c r="I189" s="27"/>
      <c r="J189" s="28"/>
      <c r="K189" s="29" t="str">
        <f aca="false">IF($J189="","",$J189*Config!$B$5)</f>
        <v/>
      </c>
      <c r="L189" s="28"/>
      <c r="M189" s="27"/>
      <c r="N189" s="28"/>
      <c r="O189" s="29" t="str">
        <f aca="false">IF($M189="","",$M189*Config!$B$6)</f>
        <v/>
      </c>
      <c r="P189" s="28"/>
      <c r="Q189" s="28"/>
      <c r="R189" s="30" t="str">
        <f aca="false">IF($J189="","",$J189-$K189+SUM($L189)-SUM($N189:$Q189))</f>
        <v/>
      </c>
      <c r="S189" s="30" t="str">
        <f aca="false">IF(OR($R189="",$H189="",$H189=0),"",$R189/$H189)</f>
        <v/>
      </c>
      <c r="T189" s="29" t="str">
        <f aca="false">IF(OR($R189="",$M189="",$M189=0),"",$R189/$M189)</f>
        <v/>
      </c>
      <c r="U189" s="26" t="str">
        <f aca="false">IF(OR($H189="",$H189=0,$I189=""),"",$I189/$H189)</f>
        <v/>
      </c>
      <c r="V189" s="24"/>
    </row>
    <row r="190" customFormat="false" ht="15" hidden="false" customHeight="false" outlineLevel="0" collapsed="false">
      <c r="A190" s="21"/>
      <c r="B190" s="22" t="str">
        <f aca="false">IF($A190="","",INDEX(Config!$F$2:$F$8,WEEKDAY($A190,2)))</f>
        <v/>
      </c>
      <c r="C190" s="23" t="str">
        <f aca="false">IF($A190="","",EOMONTH($A190,0))</f>
        <v/>
      </c>
      <c r="D190" s="24"/>
      <c r="E190" s="24"/>
      <c r="F190" s="25"/>
      <c r="G190" s="25"/>
      <c r="H190" s="26" t="str">
        <f aca="false">IF(OR($F190="",$G190=""),"",($G190-$F190+IF($G190&lt;$F190,1,0))*24)</f>
        <v/>
      </c>
      <c r="I190" s="27"/>
      <c r="J190" s="28"/>
      <c r="K190" s="29" t="str">
        <f aca="false">IF($J190="","",$J190*Config!$B$5)</f>
        <v/>
      </c>
      <c r="L190" s="28"/>
      <c r="M190" s="27"/>
      <c r="N190" s="28"/>
      <c r="O190" s="29" t="str">
        <f aca="false">IF($M190="","",$M190*Config!$B$6)</f>
        <v/>
      </c>
      <c r="P190" s="28"/>
      <c r="Q190" s="28"/>
      <c r="R190" s="30" t="str">
        <f aca="false">IF($J190="","",$J190-$K190+SUM($L190)-SUM($N190:$Q190))</f>
        <v/>
      </c>
      <c r="S190" s="30" t="str">
        <f aca="false">IF(OR($R190="",$H190="",$H190=0),"",$R190/$H190)</f>
        <v/>
      </c>
      <c r="T190" s="29" t="str">
        <f aca="false">IF(OR($R190="",$M190="",$M190=0),"",$R190/$M190)</f>
        <v/>
      </c>
      <c r="U190" s="26" t="str">
        <f aca="false">IF(OR($H190="",$H190=0,$I190=""),"",$I190/$H190)</f>
        <v/>
      </c>
      <c r="V190" s="24"/>
    </row>
    <row r="191" customFormat="false" ht="15" hidden="false" customHeight="false" outlineLevel="0" collapsed="false">
      <c r="A191" s="21"/>
      <c r="B191" s="22" t="str">
        <f aca="false">IF($A191="","",INDEX(Config!$F$2:$F$8,WEEKDAY($A191,2)))</f>
        <v/>
      </c>
      <c r="C191" s="23" t="str">
        <f aca="false">IF($A191="","",EOMONTH($A191,0))</f>
        <v/>
      </c>
      <c r="D191" s="24"/>
      <c r="E191" s="24"/>
      <c r="F191" s="25"/>
      <c r="G191" s="25"/>
      <c r="H191" s="26" t="str">
        <f aca="false">IF(OR($F191="",$G191=""),"",($G191-$F191+IF($G191&lt;$F191,1,0))*24)</f>
        <v/>
      </c>
      <c r="I191" s="27"/>
      <c r="J191" s="28"/>
      <c r="K191" s="29" t="str">
        <f aca="false">IF($J191="","",$J191*Config!$B$5)</f>
        <v/>
      </c>
      <c r="L191" s="28"/>
      <c r="M191" s="27"/>
      <c r="N191" s="28"/>
      <c r="O191" s="29" t="str">
        <f aca="false">IF($M191="","",$M191*Config!$B$6)</f>
        <v/>
      </c>
      <c r="P191" s="28"/>
      <c r="Q191" s="28"/>
      <c r="R191" s="30" t="str">
        <f aca="false">IF($J191="","",$J191-$K191+SUM($L191)-SUM($N191:$Q191))</f>
        <v/>
      </c>
      <c r="S191" s="30" t="str">
        <f aca="false">IF(OR($R191="",$H191="",$H191=0),"",$R191/$H191)</f>
        <v/>
      </c>
      <c r="T191" s="29" t="str">
        <f aca="false">IF(OR($R191="",$M191="",$M191=0),"",$R191/$M191)</f>
        <v/>
      </c>
      <c r="U191" s="26" t="str">
        <f aca="false">IF(OR($H191="",$H191=0,$I191=""),"",$I191/$H191)</f>
        <v/>
      </c>
      <c r="V191" s="24"/>
    </row>
    <row r="192" customFormat="false" ht="15" hidden="false" customHeight="false" outlineLevel="0" collapsed="false">
      <c r="A192" s="21"/>
      <c r="B192" s="22" t="str">
        <f aca="false">IF($A192="","",INDEX(Config!$F$2:$F$8,WEEKDAY($A192,2)))</f>
        <v/>
      </c>
      <c r="C192" s="23" t="str">
        <f aca="false">IF($A192="","",EOMONTH($A192,0))</f>
        <v/>
      </c>
      <c r="D192" s="24"/>
      <c r="E192" s="24"/>
      <c r="F192" s="25"/>
      <c r="G192" s="25"/>
      <c r="H192" s="26" t="str">
        <f aca="false">IF(OR($F192="",$G192=""),"",($G192-$F192+IF($G192&lt;$F192,1,0))*24)</f>
        <v/>
      </c>
      <c r="I192" s="27"/>
      <c r="J192" s="28"/>
      <c r="K192" s="29" t="str">
        <f aca="false">IF($J192="","",$J192*Config!$B$5)</f>
        <v/>
      </c>
      <c r="L192" s="28"/>
      <c r="M192" s="27"/>
      <c r="N192" s="28"/>
      <c r="O192" s="29" t="str">
        <f aca="false">IF($M192="","",$M192*Config!$B$6)</f>
        <v/>
      </c>
      <c r="P192" s="28"/>
      <c r="Q192" s="28"/>
      <c r="R192" s="30" t="str">
        <f aca="false">IF($J192="","",$J192-$K192+SUM($L192)-SUM($N192:$Q192))</f>
        <v/>
      </c>
      <c r="S192" s="30" t="str">
        <f aca="false">IF(OR($R192="",$H192="",$H192=0),"",$R192/$H192)</f>
        <v/>
      </c>
      <c r="T192" s="29" t="str">
        <f aca="false">IF(OR($R192="",$M192="",$M192=0),"",$R192/$M192)</f>
        <v/>
      </c>
      <c r="U192" s="26" t="str">
        <f aca="false">IF(OR($H192="",$H192=0,$I192=""),"",$I192/$H192)</f>
        <v/>
      </c>
      <c r="V192" s="24"/>
    </row>
    <row r="193" customFormat="false" ht="15" hidden="false" customHeight="false" outlineLevel="0" collapsed="false">
      <c r="A193" s="21"/>
      <c r="B193" s="22" t="str">
        <f aca="false">IF($A193="","",INDEX(Config!$F$2:$F$8,WEEKDAY($A193,2)))</f>
        <v/>
      </c>
      <c r="C193" s="23" t="str">
        <f aca="false">IF($A193="","",EOMONTH($A193,0))</f>
        <v/>
      </c>
      <c r="D193" s="24"/>
      <c r="E193" s="24"/>
      <c r="F193" s="25"/>
      <c r="G193" s="25"/>
      <c r="H193" s="26" t="str">
        <f aca="false">IF(OR($F193="",$G193=""),"",($G193-$F193+IF($G193&lt;$F193,1,0))*24)</f>
        <v/>
      </c>
      <c r="I193" s="27"/>
      <c r="J193" s="28"/>
      <c r="K193" s="29" t="str">
        <f aca="false">IF($J193="","",$J193*Config!$B$5)</f>
        <v/>
      </c>
      <c r="L193" s="28"/>
      <c r="M193" s="27"/>
      <c r="N193" s="28"/>
      <c r="O193" s="29" t="str">
        <f aca="false">IF($M193="","",$M193*Config!$B$6)</f>
        <v/>
      </c>
      <c r="P193" s="28"/>
      <c r="Q193" s="28"/>
      <c r="R193" s="30" t="str">
        <f aca="false">IF($J193="","",$J193-$K193+SUM($L193)-SUM($N193:$Q193))</f>
        <v/>
      </c>
      <c r="S193" s="30" t="str">
        <f aca="false">IF(OR($R193="",$H193="",$H193=0),"",$R193/$H193)</f>
        <v/>
      </c>
      <c r="T193" s="29" t="str">
        <f aca="false">IF(OR($R193="",$M193="",$M193=0),"",$R193/$M193)</f>
        <v/>
      </c>
      <c r="U193" s="26" t="str">
        <f aca="false">IF(OR($H193="",$H193=0,$I193=""),"",$I193/$H193)</f>
        <v/>
      </c>
      <c r="V193" s="24"/>
    </row>
    <row r="194" customFormat="false" ht="15" hidden="false" customHeight="false" outlineLevel="0" collapsed="false">
      <c r="A194" s="21"/>
      <c r="B194" s="22" t="str">
        <f aca="false">IF($A194="","",INDEX(Config!$F$2:$F$8,WEEKDAY($A194,2)))</f>
        <v/>
      </c>
      <c r="C194" s="23" t="str">
        <f aca="false">IF($A194="","",EOMONTH($A194,0))</f>
        <v/>
      </c>
      <c r="D194" s="24"/>
      <c r="E194" s="24"/>
      <c r="F194" s="25"/>
      <c r="G194" s="25"/>
      <c r="H194" s="26" t="str">
        <f aca="false">IF(OR($F194="",$G194=""),"",($G194-$F194+IF($G194&lt;$F194,1,0))*24)</f>
        <v/>
      </c>
      <c r="I194" s="27"/>
      <c r="J194" s="28"/>
      <c r="K194" s="29" t="str">
        <f aca="false">IF($J194="","",$J194*Config!$B$5)</f>
        <v/>
      </c>
      <c r="L194" s="28"/>
      <c r="M194" s="27"/>
      <c r="N194" s="28"/>
      <c r="O194" s="29" t="str">
        <f aca="false">IF($M194="","",$M194*Config!$B$6)</f>
        <v/>
      </c>
      <c r="P194" s="28"/>
      <c r="Q194" s="28"/>
      <c r="R194" s="30" t="str">
        <f aca="false">IF($J194="","",$J194-$K194+SUM($L194)-SUM($N194:$Q194))</f>
        <v/>
      </c>
      <c r="S194" s="30" t="str">
        <f aca="false">IF(OR($R194="",$H194="",$H194=0),"",$R194/$H194)</f>
        <v/>
      </c>
      <c r="T194" s="29" t="str">
        <f aca="false">IF(OR($R194="",$M194="",$M194=0),"",$R194/$M194)</f>
        <v/>
      </c>
      <c r="U194" s="26" t="str">
        <f aca="false">IF(OR($H194="",$H194=0,$I194=""),"",$I194/$H194)</f>
        <v/>
      </c>
      <c r="V194" s="24"/>
    </row>
    <row r="195" customFormat="false" ht="15" hidden="false" customHeight="false" outlineLevel="0" collapsed="false">
      <c r="A195" s="21"/>
      <c r="B195" s="22" t="str">
        <f aca="false">IF($A195="","",INDEX(Config!$F$2:$F$8,WEEKDAY($A195,2)))</f>
        <v/>
      </c>
      <c r="C195" s="23" t="str">
        <f aca="false">IF($A195="","",EOMONTH($A195,0))</f>
        <v/>
      </c>
      <c r="D195" s="24"/>
      <c r="E195" s="24"/>
      <c r="F195" s="25"/>
      <c r="G195" s="25"/>
      <c r="H195" s="26" t="str">
        <f aca="false">IF(OR($F195="",$G195=""),"",($G195-$F195+IF($G195&lt;$F195,1,0))*24)</f>
        <v/>
      </c>
      <c r="I195" s="27"/>
      <c r="J195" s="28"/>
      <c r="K195" s="29" t="str">
        <f aca="false">IF($J195="","",$J195*Config!$B$5)</f>
        <v/>
      </c>
      <c r="L195" s="28"/>
      <c r="M195" s="27"/>
      <c r="N195" s="28"/>
      <c r="O195" s="29" t="str">
        <f aca="false">IF($M195="","",$M195*Config!$B$6)</f>
        <v/>
      </c>
      <c r="P195" s="28"/>
      <c r="Q195" s="28"/>
      <c r="R195" s="30" t="str">
        <f aca="false">IF($J195="","",$J195-$K195+SUM($L195)-SUM($N195:$Q195))</f>
        <v/>
      </c>
      <c r="S195" s="30" t="str">
        <f aca="false">IF(OR($R195="",$H195="",$H195=0),"",$R195/$H195)</f>
        <v/>
      </c>
      <c r="T195" s="29" t="str">
        <f aca="false">IF(OR($R195="",$M195="",$M195=0),"",$R195/$M195)</f>
        <v/>
      </c>
      <c r="U195" s="26" t="str">
        <f aca="false">IF(OR($H195="",$H195=0,$I195=""),"",$I195/$H195)</f>
        <v/>
      </c>
      <c r="V195" s="24"/>
    </row>
    <row r="196" customFormat="false" ht="15" hidden="false" customHeight="false" outlineLevel="0" collapsed="false">
      <c r="A196" s="21"/>
      <c r="B196" s="22" t="str">
        <f aca="false">IF($A196="","",INDEX(Config!$F$2:$F$8,WEEKDAY($A196,2)))</f>
        <v/>
      </c>
      <c r="C196" s="23" t="str">
        <f aca="false">IF($A196="","",EOMONTH($A196,0))</f>
        <v/>
      </c>
      <c r="D196" s="24"/>
      <c r="E196" s="24"/>
      <c r="F196" s="25"/>
      <c r="G196" s="25"/>
      <c r="H196" s="26" t="str">
        <f aca="false">IF(OR($F196="",$G196=""),"",($G196-$F196+IF($G196&lt;$F196,1,0))*24)</f>
        <v/>
      </c>
      <c r="I196" s="27"/>
      <c r="J196" s="28"/>
      <c r="K196" s="29" t="str">
        <f aca="false">IF($J196="","",$J196*Config!$B$5)</f>
        <v/>
      </c>
      <c r="L196" s="28"/>
      <c r="M196" s="27"/>
      <c r="N196" s="28"/>
      <c r="O196" s="29" t="str">
        <f aca="false">IF($M196="","",$M196*Config!$B$6)</f>
        <v/>
      </c>
      <c r="P196" s="28"/>
      <c r="Q196" s="28"/>
      <c r="R196" s="30" t="str">
        <f aca="false">IF($J196="","",$J196-$K196+SUM($L196)-SUM($N196:$Q196))</f>
        <v/>
      </c>
      <c r="S196" s="30" t="str">
        <f aca="false">IF(OR($R196="",$H196="",$H196=0),"",$R196/$H196)</f>
        <v/>
      </c>
      <c r="T196" s="29" t="str">
        <f aca="false">IF(OR($R196="",$M196="",$M196=0),"",$R196/$M196)</f>
        <v/>
      </c>
      <c r="U196" s="26" t="str">
        <f aca="false">IF(OR($H196="",$H196=0,$I196=""),"",$I196/$H196)</f>
        <v/>
      </c>
      <c r="V196" s="24"/>
    </row>
    <row r="197" customFormat="false" ht="15" hidden="false" customHeight="false" outlineLevel="0" collapsed="false">
      <c r="A197" s="21"/>
      <c r="B197" s="22" t="str">
        <f aca="false">IF($A197="","",INDEX(Config!$F$2:$F$8,WEEKDAY($A197,2)))</f>
        <v/>
      </c>
      <c r="C197" s="23" t="str">
        <f aca="false">IF($A197="","",EOMONTH($A197,0))</f>
        <v/>
      </c>
      <c r="D197" s="24"/>
      <c r="E197" s="24"/>
      <c r="F197" s="25"/>
      <c r="G197" s="25"/>
      <c r="H197" s="26" t="str">
        <f aca="false">IF(OR($F197="",$G197=""),"",($G197-$F197+IF($G197&lt;$F197,1,0))*24)</f>
        <v/>
      </c>
      <c r="I197" s="27"/>
      <c r="J197" s="28"/>
      <c r="K197" s="29" t="str">
        <f aca="false">IF($J197="","",$J197*Config!$B$5)</f>
        <v/>
      </c>
      <c r="L197" s="28"/>
      <c r="M197" s="27"/>
      <c r="N197" s="28"/>
      <c r="O197" s="29" t="str">
        <f aca="false">IF($M197="","",$M197*Config!$B$6)</f>
        <v/>
      </c>
      <c r="P197" s="28"/>
      <c r="Q197" s="28"/>
      <c r="R197" s="30" t="str">
        <f aca="false">IF($J197="","",$J197-$K197+SUM($L197)-SUM($N197:$Q197))</f>
        <v/>
      </c>
      <c r="S197" s="30" t="str">
        <f aca="false">IF(OR($R197="",$H197="",$H197=0),"",$R197/$H197)</f>
        <v/>
      </c>
      <c r="T197" s="29" t="str">
        <f aca="false">IF(OR($R197="",$M197="",$M197=0),"",$R197/$M197)</f>
        <v/>
      </c>
      <c r="U197" s="26" t="str">
        <f aca="false">IF(OR($H197="",$H197=0,$I197=""),"",$I197/$H197)</f>
        <v/>
      </c>
      <c r="V197" s="24"/>
    </row>
    <row r="198" customFormat="false" ht="15" hidden="false" customHeight="false" outlineLevel="0" collapsed="false">
      <c r="A198" s="21"/>
      <c r="B198" s="22" t="str">
        <f aca="false">IF($A198="","",INDEX(Config!$F$2:$F$8,WEEKDAY($A198,2)))</f>
        <v/>
      </c>
      <c r="C198" s="23" t="str">
        <f aca="false">IF($A198="","",EOMONTH($A198,0))</f>
        <v/>
      </c>
      <c r="D198" s="24"/>
      <c r="E198" s="24"/>
      <c r="F198" s="25"/>
      <c r="G198" s="25"/>
      <c r="H198" s="26" t="str">
        <f aca="false">IF(OR($F198="",$G198=""),"",($G198-$F198+IF($G198&lt;$F198,1,0))*24)</f>
        <v/>
      </c>
      <c r="I198" s="27"/>
      <c r="J198" s="28"/>
      <c r="K198" s="29" t="str">
        <f aca="false">IF($J198="","",$J198*Config!$B$5)</f>
        <v/>
      </c>
      <c r="L198" s="28"/>
      <c r="M198" s="27"/>
      <c r="N198" s="28"/>
      <c r="O198" s="29" t="str">
        <f aca="false">IF($M198="","",$M198*Config!$B$6)</f>
        <v/>
      </c>
      <c r="P198" s="28"/>
      <c r="Q198" s="28"/>
      <c r="R198" s="30" t="str">
        <f aca="false">IF($J198="","",$J198-$K198+SUM($L198)-SUM($N198:$Q198))</f>
        <v/>
      </c>
      <c r="S198" s="30" t="str">
        <f aca="false">IF(OR($R198="",$H198="",$H198=0),"",$R198/$H198)</f>
        <v/>
      </c>
      <c r="T198" s="29" t="str">
        <f aca="false">IF(OR($R198="",$M198="",$M198=0),"",$R198/$M198)</f>
        <v/>
      </c>
      <c r="U198" s="26" t="str">
        <f aca="false">IF(OR($H198="",$H198=0,$I198=""),"",$I198/$H198)</f>
        <v/>
      </c>
      <c r="V198" s="24"/>
    </row>
    <row r="199" customFormat="false" ht="15" hidden="false" customHeight="false" outlineLevel="0" collapsed="false">
      <c r="A199" s="21"/>
      <c r="B199" s="22" t="str">
        <f aca="false">IF($A199="","",INDEX(Config!$F$2:$F$8,WEEKDAY($A199,2)))</f>
        <v/>
      </c>
      <c r="C199" s="23" t="str">
        <f aca="false">IF($A199="","",EOMONTH($A199,0))</f>
        <v/>
      </c>
      <c r="D199" s="24"/>
      <c r="E199" s="24"/>
      <c r="F199" s="25"/>
      <c r="G199" s="25"/>
      <c r="H199" s="26" t="str">
        <f aca="false">IF(OR($F199="",$G199=""),"",($G199-$F199+IF($G199&lt;$F199,1,0))*24)</f>
        <v/>
      </c>
      <c r="I199" s="27"/>
      <c r="J199" s="28"/>
      <c r="K199" s="29" t="str">
        <f aca="false">IF($J199="","",$J199*Config!$B$5)</f>
        <v/>
      </c>
      <c r="L199" s="28"/>
      <c r="M199" s="27"/>
      <c r="N199" s="28"/>
      <c r="O199" s="29" t="str">
        <f aca="false">IF($M199="","",$M199*Config!$B$6)</f>
        <v/>
      </c>
      <c r="P199" s="28"/>
      <c r="Q199" s="28"/>
      <c r="R199" s="30" t="str">
        <f aca="false">IF($J199="","",$J199-$K199+SUM($L199)-SUM($N199:$Q199))</f>
        <v/>
      </c>
      <c r="S199" s="30" t="str">
        <f aca="false">IF(OR($R199="",$H199="",$H199=0),"",$R199/$H199)</f>
        <v/>
      </c>
      <c r="T199" s="29" t="str">
        <f aca="false">IF(OR($R199="",$M199="",$M199=0),"",$R199/$M199)</f>
        <v/>
      </c>
      <c r="U199" s="26" t="str">
        <f aca="false">IF(OR($H199="",$H199=0,$I199=""),"",$I199/$H199)</f>
        <v/>
      </c>
      <c r="V199" s="24"/>
    </row>
    <row r="200" customFormat="false" ht="15" hidden="false" customHeight="false" outlineLevel="0" collapsed="false">
      <c r="A200" s="21"/>
      <c r="B200" s="22" t="str">
        <f aca="false">IF($A200="","",INDEX(Config!$F$2:$F$8,WEEKDAY($A200,2)))</f>
        <v/>
      </c>
      <c r="C200" s="23" t="str">
        <f aca="false">IF($A200="","",EOMONTH($A200,0))</f>
        <v/>
      </c>
      <c r="D200" s="24"/>
      <c r="E200" s="24"/>
      <c r="F200" s="25"/>
      <c r="G200" s="25"/>
      <c r="H200" s="26" t="str">
        <f aca="false">IF(OR($F200="",$G200=""),"",($G200-$F200+IF($G200&lt;$F200,1,0))*24)</f>
        <v/>
      </c>
      <c r="I200" s="27"/>
      <c r="J200" s="28"/>
      <c r="K200" s="29" t="str">
        <f aca="false">IF($J200="","",$J200*Config!$B$5)</f>
        <v/>
      </c>
      <c r="L200" s="28"/>
      <c r="M200" s="27"/>
      <c r="N200" s="28"/>
      <c r="O200" s="29" t="str">
        <f aca="false">IF($M200="","",$M200*Config!$B$6)</f>
        <v/>
      </c>
      <c r="P200" s="28"/>
      <c r="Q200" s="28"/>
      <c r="R200" s="30" t="str">
        <f aca="false">IF($J200="","",$J200-$K200+SUM($L200)-SUM($N200:$Q200))</f>
        <v/>
      </c>
      <c r="S200" s="30" t="str">
        <f aca="false">IF(OR($R200="",$H200="",$H200=0),"",$R200/$H200)</f>
        <v/>
      </c>
      <c r="T200" s="29" t="str">
        <f aca="false">IF(OR($R200="",$M200="",$M200=0),"",$R200/$M200)</f>
        <v/>
      </c>
      <c r="U200" s="26" t="str">
        <f aca="false">IF(OR($H200="",$H200=0,$I200=""),"",$I200/$H200)</f>
        <v/>
      </c>
      <c r="V200" s="24"/>
    </row>
    <row r="201" customFormat="false" ht="15" hidden="false" customHeight="false" outlineLevel="0" collapsed="false">
      <c r="A201" s="21"/>
      <c r="B201" s="22" t="str">
        <f aca="false">IF($A201="","",INDEX(Config!$F$2:$F$8,WEEKDAY($A201,2)))</f>
        <v/>
      </c>
      <c r="C201" s="23" t="str">
        <f aca="false">IF($A201="","",EOMONTH($A201,0))</f>
        <v/>
      </c>
      <c r="D201" s="24"/>
      <c r="E201" s="24"/>
      <c r="F201" s="25"/>
      <c r="G201" s="25"/>
      <c r="H201" s="26" t="str">
        <f aca="false">IF(OR($F201="",$G201=""),"",($G201-$F201+IF($G201&lt;$F201,1,0))*24)</f>
        <v/>
      </c>
      <c r="I201" s="27"/>
      <c r="J201" s="28"/>
      <c r="K201" s="29" t="str">
        <f aca="false">IF($J201="","",$J201*Config!$B$5)</f>
        <v/>
      </c>
      <c r="L201" s="28"/>
      <c r="M201" s="27"/>
      <c r="N201" s="28"/>
      <c r="O201" s="29" t="str">
        <f aca="false">IF($M201="","",$M201*Config!$B$6)</f>
        <v/>
      </c>
      <c r="P201" s="28"/>
      <c r="Q201" s="28"/>
      <c r="R201" s="30" t="str">
        <f aca="false">IF($J201="","",$J201-$K201+SUM($L201)-SUM($N201:$Q201))</f>
        <v/>
      </c>
      <c r="S201" s="30" t="str">
        <f aca="false">IF(OR($R201="",$H201="",$H201=0),"",$R201/$H201)</f>
        <v/>
      </c>
      <c r="T201" s="29" t="str">
        <f aca="false">IF(OR($R201="",$M201="",$M201=0),"",$R201/$M201)</f>
        <v/>
      </c>
      <c r="U201" s="26" t="str">
        <f aca="false">IF(OR($H201="",$H201=0,$I201=""),"",$I201/$H201)</f>
        <v/>
      </c>
      <c r="V201" s="24"/>
    </row>
    <row r="202" customFormat="false" ht="15" hidden="false" customHeight="false" outlineLevel="0" collapsed="false">
      <c r="A202" s="21"/>
      <c r="B202" s="22" t="str">
        <f aca="false">IF($A202="","",INDEX(Config!$F$2:$F$8,WEEKDAY($A202,2)))</f>
        <v/>
      </c>
      <c r="C202" s="23" t="str">
        <f aca="false">IF($A202="","",EOMONTH($A202,0))</f>
        <v/>
      </c>
      <c r="D202" s="24"/>
      <c r="E202" s="24"/>
      <c r="F202" s="25"/>
      <c r="G202" s="25"/>
      <c r="H202" s="26" t="str">
        <f aca="false">IF(OR($F202="",$G202=""),"",($G202-$F202+IF($G202&lt;$F202,1,0))*24)</f>
        <v/>
      </c>
      <c r="I202" s="27"/>
      <c r="J202" s="28"/>
      <c r="K202" s="29" t="str">
        <f aca="false">IF($J202="","",$J202*Config!$B$5)</f>
        <v/>
      </c>
      <c r="L202" s="28"/>
      <c r="M202" s="27"/>
      <c r="N202" s="28"/>
      <c r="O202" s="29" t="str">
        <f aca="false">IF($M202="","",$M202*Config!$B$6)</f>
        <v/>
      </c>
      <c r="P202" s="28"/>
      <c r="Q202" s="28"/>
      <c r="R202" s="30" t="str">
        <f aca="false">IF($J202="","",$J202-$K202+SUM($L202)-SUM($N202:$Q202))</f>
        <v/>
      </c>
      <c r="S202" s="30" t="str">
        <f aca="false">IF(OR($R202="",$H202="",$H202=0),"",$R202/$H202)</f>
        <v/>
      </c>
      <c r="T202" s="29" t="str">
        <f aca="false">IF(OR($R202="",$M202="",$M202=0),"",$R202/$M202)</f>
        <v/>
      </c>
      <c r="U202" s="26" t="str">
        <f aca="false">IF(OR($H202="",$H202=0,$I202=""),"",$I202/$H202)</f>
        <v/>
      </c>
      <c r="V202" s="24"/>
    </row>
    <row r="203" customFormat="false" ht="15" hidden="false" customHeight="false" outlineLevel="0" collapsed="false">
      <c r="A203" s="21"/>
      <c r="B203" s="22" t="str">
        <f aca="false">IF($A203="","",INDEX(Config!$F$2:$F$8,WEEKDAY($A203,2)))</f>
        <v/>
      </c>
      <c r="C203" s="23" t="str">
        <f aca="false">IF($A203="","",EOMONTH($A203,0))</f>
        <v/>
      </c>
      <c r="D203" s="24"/>
      <c r="E203" s="24"/>
      <c r="F203" s="25"/>
      <c r="G203" s="25"/>
      <c r="H203" s="26" t="str">
        <f aca="false">IF(OR($F203="",$G203=""),"",($G203-$F203+IF($G203&lt;$F203,1,0))*24)</f>
        <v/>
      </c>
      <c r="I203" s="27"/>
      <c r="J203" s="28"/>
      <c r="K203" s="29" t="str">
        <f aca="false">IF($J203="","",$J203*Config!$B$5)</f>
        <v/>
      </c>
      <c r="L203" s="28"/>
      <c r="M203" s="27"/>
      <c r="N203" s="28"/>
      <c r="O203" s="29" t="str">
        <f aca="false">IF($M203="","",$M203*Config!$B$6)</f>
        <v/>
      </c>
      <c r="P203" s="28"/>
      <c r="Q203" s="28"/>
      <c r="R203" s="30" t="str">
        <f aca="false">IF($J203="","",$J203-$K203+SUM($L203)-SUM($N203:$Q203))</f>
        <v/>
      </c>
      <c r="S203" s="30" t="str">
        <f aca="false">IF(OR($R203="",$H203="",$H203=0),"",$R203/$H203)</f>
        <v/>
      </c>
      <c r="T203" s="29" t="str">
        <f aca="false">IF(OR($R203="",$M203="",$M203=0),"",$R203/$M203)</f>
        <v/>
      </c>
      <c r="U203" s="26" t="str">
        <f aca="false">IF(OR($H203="",$H203=0,$I203=""),"",$I203/$H203)</f>
        <v/>
      </c>
      <c r="V203" s="24"/>
    </row>
    <row r="204" customFormat="false" ht="15" hidden="false" customHeight="false" outlineLevel="0" collapsed="false">
      <c r="A204" s="21"/>
      <c r="B204" s="22" t="str">
        <f aca="false">IF($A204="","",INDEX(Config!$F$2:$F$8,WEEKDAY($A204,2)))</f>
        <v/>
      </c>
      <c r="C204" s="23" t="str">
        <f aca="false">IF($A204="","",EOMONTH($A204,0))</f>
        <v/>
      </c>
      <c r="D204" s="24"/>
      <c r="E204" s="24"/>
      <c r="F204" s="25"/>
      <c r="G204" s="25"/>
      <c r="H204" s="26" t="str">
        <f aca="false">IF(OR($F204="",$G204=""),"",($G204-$F204+IF($G204&lt;$F204,1,0))*24)</f>
        <v/>
      </c>
      <c r="I204" s="27"/>
      <c r="J204" s="28"/>
      <c r="K204" s="29" t="str">
        <f aca="false">IF($J204="","",$J204*Config!$B$5)</f>
        <v/>
      </c>
      <c r="L204" s="28"/>
      <c r="M204" s="27"/>
      <c r="N204" s="28"/>
      <c r="O204" s="29" t="str">
        <f aca="false">IF($M204="","",$M204*Config!$B$6)</f>
        <v/>
      </c>
      <c r="P204" s="28"/>
      <c r="Q204" s="28"/>
      <c r="R204" s="30" t="str">
        <f aca="false">IF($J204="","",$J204-$K204+SUM($L204)-SUM($N204:$Q204))</f>
        <v/>
      </c>
      <c r="S204" s="30" t="str">
        <f aca="false">IF(OR($R204="",$H204="",$H204=0),"",$R204/$H204)</f>
        <v/>
      </c>
      <c r="T204" s="29" t="str">
        <f aca="false">IF(OR($R204="",$M204="",$M204=0),"",$R204/$M204)</f>
        <v/>
      </c>
      <c r="U204" s="26" t="str">
        <f aca="false">IF(OR($H204="",$H204=0,$I204=""),"",$I204/$H204)</f>
        <v/>
      </c>
      <c r="V204" s="24"/>
    </row>
    <row r="205" customFormat="false" ht="15" hidden="false" customHeight="false" outlineLevel="0" collapsed="false">
      <c r="A205" s="21"/>
      <c r="B205" s="22" t="str">
        <f aca="false">IF($A205="","",INDEX(Config!$F$2:$F$8,WEEKDAY($A205,2)))</f>
        <v/>
      </c>
      <c r="C205" s="23" t="str">
        <f aca="false">IF($A205="","",EOMONTH($A205,0))</f>
        <v/>
      </c>
      <c r="D205" s="24"/>
      <c r="E205" s="24"/>
      <c r="F205" s="25"/>
      <c r="G205" s="25"/>
      <c r="H205" s="26" t="str">
        <f aca="false">IF(OR($F205="",$G205=""),"",($G205-$F205+IF($G205&lt;$F205,1,0))*24)</f>
        <v/>
      </c>
      <c r="I205" s="27"/>
      <c r="J205" s="28"/>
      <c r="K205" s="29" t="str">
        <f aca="false">IF($J205="","",$J205*Config!$B$5)</f>
        <v/>
      </c>
      <c r="L205" s="28"/>
      <c r="M205" s="27"/>
      <c r="N205" s="28"/>
      <c r="O205" s="29" t="str">
        <f aca="false">IF($M205="","",$M205*Config!$B$6)</f>
        <v/>
      </c>
      <c r="P205" s="28"/>
      <c r="Q205" s="28"/>
      <c r="R205" s="30" t="str">
        <f aca="false">IF($J205="","",$J205-$K205+SUM($L205)-SUM($N205:$Q205))</f>
        <v/>
      </c>
      <c r="S205" s="30" t="str">
        <f aca="false">IF(OR($R205="",$H205="",$H205=0),"",$R205/$H205)</f>
        <v/>
      </c>
      <c r="T205" s="29" t="str">
        <f aca="false">IF(OR($R205="",$M205="",$M205=0),"",$R205/$M205)</f>
        <v/>
      </c>
      <c r="U205" s="26" t="str">
        <f aca="false">IF(OR($H205="",$H205=0,$I205=""),"",$I205/$H205)</f>
        <v/>
      </c>
      <c r="V205" s="24"/>
    </row>
    <row r="206" customFormat="false" ht="15" hidden="false" customHeight="false" outlineLevel="0" collapsed="false">
      <c r="A206" s="21"/>
      <c r="B206" s="22" t="str">
        <f aca="false">IF($A206="","",INDEX(Config!$F$2:$F$8,WEEKDAY($A206,2)))</f>
        <v/>
      </c>
      <c r="C206" s="23" t="str">
        <f aca="false">IF($A206="","",EOMONTH($A206,0))</f>
        <v/>
      </c>
      <c r="D206" s="24"/>
      <c r="E206" s="24"/>
      <c r="F206" s="25"/>
      <c r="G206" s="25"/>
      <c r="H206" s="26" t="str">
        <f aca="false">IF(OR($F206="",$G206=""),"",($G206-$F206+IF($G206&lt;$F206,1,0))*24)</f>
        <v/>
      </c>
      <c r="I206" s="27"/>
      <c r="J206" s="28"/>
      <c r="K206" s="29" t="str">
        <f aca="false">IF($J206="","",$J206*Config!$B$5)</f>
        <v/>
      </c>
      <c r="L206" s="28"/>
      <c r="M206" s="27"/>
      <c r="N206" s="28"/>
      <c r="O206" s="29" t="str">
        <f aca="false">IF($M206="","",$M206*Config!$B$6)</f>
        <v/>
      </c>
      <c r="P206" s="28"/>
      <c r="Q206" s="28"/>
      <c r="R206" s="30" t="str">
        <f aca="false">IF($J206="","",$J206-$K206+SUM($L206)-SUM($N206:$Q206))</f>
        <v/>
      </c>
      <c r="S206" s="30" t="str">
        <f aca="false">IF(OR($R206="",$H206="",$H206=0),"",$R206/$H206)</f>
        <v/>
      </c>
      <c r="T206" s="29" t="str">
        <f aca="false">IF(OR($R206="",$M206="",$M206=0),"",$R206/$M206)</f>
        <v/>
      </c>
      <c r="U206" s="26" t="str">
        <f aca="false">IF(OR($H206="",$H206=0,$I206=""),"",$I206/$H206)</f>
        <v/>
      </c>
      <c r="V206" s="24"/>
    </row>
    <row r="207" customFormat="false" ht="15" hidden="false" customHeight="false" outlineLevel="0" collapsed="false">
      <c r="A207" s="21"/>
      <c r="B207" s="22" t="str">
        <f aca="false">IF($A207="","",INDEX(Config!$F$2:$F$8,WEEKDAY($A207,2)))</f>
        <v/>
      </c>
      <c r="C207" s="23" t="str">
        <f aca="false">IF($A207="","",EOMONTH($A207,0))</f>
        <v/>
      </c>
      <c r="D207" s="24"/>
      <c r="E207" s="24"/>
      <c r="F207" s="25"/>
      <c r="G207" s="25"/>
      <c r="H207" s="26" t="str">
        <f aca="false">IF(OR($F207="",$G207=""),"",($G207-$F207+IF($G207&lt;$F207,1,0))*24)</f>
        <v/>
      </c>
      <c r="I207" s="27"/>
      <c r="J207" s="28"/>
      <c r="K207" s="29" t="str">
        <f aca="false">IF($J207="","",$J207*Config!$B$5)</f>
        <v/>
      </c>
      <c r="L207" s="28"/>
      <c r="M207" s="27"/>
      <c r="N207" s="28"/>
      <c r="O207" s="29" t="str">
        <f aca="false">IF($M207="","",$M207*Config!$B$6)</f>
        <v/>
      </c>
      <c r="P207" s="28"/>
      <c r="Q207" s="28"/>
      <c r="R207" s="30" t="str">
        <f aca="false">IF($J207="","",$J207-$K207+SUM($L207)-SUM($N207:$Q207))</f>
        <v/>
      </c>
      <c r="S207" s="30" t="str">
        <f aca="false">IF(OR($R207="",$H207="",$H207=0),"",$R207/$H207)</f>
        <v/>
      </c>
      <c r="T207" s="29" t="str">
        <f aca="false">IF(OR($R207="",$M207="",$M207=0),"",$R207/$M207)</f>
        <v/>
      </c>
      <c r="U207" s="26" t="str">
        <f aca="false">IF(OR($H207="",$H207=0,$I207=""),"",$I207/$H207)</f>
        <v/>
      </c>
      <c r="V207" s="24"/>
    </row>
    <row r="208" customFormat="false" ht="15" hidden="false" customHeight="false" outlineLevel="0" collapsed="false">
      <c r="A208" s="21"/>
      <c r="B208" s="22" t="str">
        <f aca="false">IF($A208="","",INDEX(Config!$F$2:$F$8,WEEKDAY($A208,2)))</f>
        <v/>
      </c>
      <c r="C208" s="23" t="str">
        <f aca="false">IF($A208="","",EOMONTH($A208,0))</f>
        <v/>
      </c>
      <c r="D208" s="24"/>
      <c r="E208" s="24"/>
      <c r="F208" s="25"/>
      <c r="G208" s="25"/>
      <c r="H208" s="26" t="str">
        <f aca="false">IF(OR($F208="",$G208=""),"",($G208-$F208+IF($G208&lt;$F208,1,0))*24)</f>
        <v/>
      </c>
      <c r="I208" s="27"/>
      <c r="J208" s="28"/>
      <c r="K208" s="29" t="str">
        <f aca="false">IF($J208="","",$J208*Config!$B$5)</f>
        <v/>
      </c>
      <c r="L208" s="28"/>
      <c r="M208" s="27"/>
      <c r="N208" s="28"/>
      <c r="O208" s="29" t="str">
        <f aca="false">IF($M208="","",$M208*Config!$B$6)</f>
        <v/>
      </c>
      <c r="P208" s="28"/>
      <c r="Q208" s="28"/>
      <c r="R208" s="30" t="str">
        <f aca="false">IF($J208="","",$J208-$K208+SUM($L208)-SUM($N208:$Q208))</f>
        <v/>
      </c>
      <c r="S208" s="30" t="str">
        <f aca="false">IF(OR($R208="",$H208="",$H208=0),"",$R208/$H208)</f>
        <v/>
      </c>
      <c r="T208" s="29" t="str">
        <f aca="false">IF(OR($R208="",$M208="",$M208=0),"",$R208/$M208)</f>
        <v/>
      </c>
      <c r="U208" s="26" t="str">
        <f aca="false">IF(OR($H208="",$H208=0,$I208=""),"",$I208/$H208)</f>
        <v/>
      </c>
      <c r="V208" s="24"/>
    </row>
    <row r="209" customFormat="false" ht="15" hidden="false" customHeight="false" outlineLevel="0" collapsed="false">
      <c r="A209" s="21"/>
      <c r="B209" s="22" t="str">
        <f aca="false">IF($A209="","",INDEX(Config!$F$2:$F$8,WEEKDAY($A209,2)))</f>
        <v/>
      </c>
      <c r="C209" s="23" t="str">
        <f aca="false">IF($A209="","",EOMONTH($A209,0))</f>
        <v/>
      </c>
      <c r="D209" s="24"/>
      <c r="E209" s="24"/>
      <c r="F209" s="25"/>
      <c r="G209" s="25"/>
      <c r="H209" s="26" t="str">
        <f aca="false">IF(OR($F209="",$G209=""),"",($G209-$F209+IF($G209&lt;$F209,1,0))*24)</f>
        <v/>
      </c>
      <c r="I209" s="27"/>
      <c r="J209" s="28"/>
      <c r="K209" s="29" t="str">
        <f aca="false">IF($J209="","",$J209*Config!$B$5)</f>
        <v/>
      </c>
      <c r="L209" s="28"/>
      <c r="M209" s="27"/>
      <c r="N209" s="28"/>
      <c r="O209" s="29" t="str">
        <f aca="false">IF($M209="","",$M209*Config!$B$6)</f>
        <v/>
      </c>
      <c r="P209" s="28"/>
      <c r="Q209" s="28"/>
      <c r="R209" s="30" t="str">
        <f aca="false">IF($J209="","",$J209-$K209+SUM($L209)-SUM($N209:$Q209))</f>
        <v/>
      </c>
      <c r="S209" s="30" t="str">
        <f aca="false">IF(OR($R209="",$H209="",$H209=0),"",$R209/$H209)</f>
        <v/>
      </c>
      <c r="T209" s="29" t="str">
        <f aca="false">IF(OR($R209="",$M209="",$M209=0),"",$R209/$M209)</f>
        <v/>
      </c>
      <c r="U209" s="26" t="str">
        <f aca="false">IF(OR($H209="",$H209=0,$I209=""),"",$I209/$H209)</f>
        <v/>
      </c>
      <c r="V209" s="24"/>
    </row>
    <row r="210" customFormat="false" ht="15" hidden="false" customHeight="false" outlineLevel="0" collapsed="false">
      <c r="A210" s="21"/>
      <c r="B210" s="22" t="str">
        <f aca="false">IF($A210="","",INDEX(Config!$F$2:$F$8,WEEKDAY($A210,2)))</f>
        <v/>
      </c>
      <c r="C210" s="23" t="str">
        <f aca="false">IF($A210="","",EOMONTH($A210,0))</f>
        <v/>
      </c>
      <c r="D210" s="24"/>
      <c r="E210" s="24"/>
      <c r="F210" s="25"/>
      <c r="G210" s="25"/>
      <c r="H210" s="26" t="str">
        <f aca="false">IF(OR($F210="",$G210=""),"",($G210-$F210+IF($G210&lt;$F210,1,0))*24)</f>
        <v/>
      </c>
      <c r="I210" s="27"/>
      <c r="J210" s="28"/>
      <c r="K210" s="29" t="str">
        <f aca="false">IF($J210="","",$J210*Config!$B$5)</f>
        <v/>
      </c>
      <c r="L210" s="28"/>
      <c r="M210" s="27"/>
      <c r="N210" s="28"/>
      <c r="O210" s="29" t="str">
        <f aca="false">IF($M210="","",$M210*Config!$B$6)</f>
        <v/>
      </c>
      <c r="P210" s="28"/>
      <c r="Q210" s="28"/>
      <c r="R210" s="30" t="str">
        <f aca="false">IF($J210="","",$J210-$K210+SUM($L210)-SUM($N210:$Q210))</f>
        <v/>
      </c>
      <c r="S210" s="30" t="str">
        <f aca="false">IF(OR($R210="",$H210="",$H210=0),"",$R210/$H210)</f>
        <v/>
      </c>
      <c r="T210" s="29" t="str">
        <f aca="false">IF(OR($R210="",$M210="",$M210=0),"",$R210/$M210)</f>
        <v/>
      </c>
      <c r="U210" s="26" t="str">
        <f aca="false">IF(OR($H210="",$H210=0,$I210=""),"",$I210/$H210)</f>
        <v/>
      </c>
      <c r="V210" s="24"/>
    </row>
    <row r="211" customFormat="false" ht="15" hidden="false" customHeight="false" outlineLevel="0" collapsed="false">
      <c r="A211" s="21"/>
      <c r="B211" s="22" t="str">
        <f aca="false">IF($A211="","",INDEX(Config!$F$2:$F$8,WEEKDAY($A211,2)))</f>
        <v/>
      </c>
      <c r="C211" s="23" t="str">
        <f aca="false">IF($A211="","",EOMONTH($A211,0))</f>
        <v/>
      </c>
      <c r="D211" s="24"/>
      <c r="E211" s="24"/>
      <c r="F211" s="25"/>
      <c r="G211" s="25"/>
      <c r="H211" s="26" t="str">
        <f aca="false">IF(OR($F211="",$G211=""),"",($G211-$F211+IF($G211&lt;$F211,1,0))*24)</f>
        <v/>
      </c>
      <c r="I211" s="27"/>
      <c r="J211" s="28"/>
      <c r="K211" s="29" t="str">
        <f aca="false">IF($J211="","",$J211*Config!$B$5)</f>
        <v/>
      </c>
      <c r="L211" s="28"/>
      <c r="M211" s="27"/>
      <c r="N211" s="28"/>
      <c r="O211" s="29" t="str">
        <f aca="false">IF($M211="","",$M211*Config!$B$6)</f>
        <v/>
      </c>
      <c r="P211" s="28"/>
      <c r="Q211" s="28"/>
      <c r="R211" s="30" t="str">
        <f aca="false">IF($J211="","",$J211-$K211+SUM($L211)-SUM($N211:$Q211))</f>
        <v/>
      </c>
      <c r="S211" s="30" t="str">
        <f aca="false">IF(OR($R211="",$H211="",$H211=0),"",$R211/$H211)</f>
        <v/>
      </c>
      <c r="T211" s="29" t="str">
        <f aca="false">IF(OR($R211="",$M211="",$M211=0),"",$R211/$M211)</f>
        <v/>
      </c>
      <c r="U211" s="26" t="str">
        <f aca="false">IF(OR($H211="",$H211=0,$I211=""),"",$I211/$H211)</f>
        <v/>
      </c>
      <c r="V211" s="24"/>
    </row>
    <row r="212" customFormat="false" ht="15" hidden="false" customHeight="false" outlineLevel="0" collapsed="false">
      <c r="A212" s="21"/>
      <c r="B212" s="22" t="str">
        <f aca="false">IF($A212="","",INDEX(Config!$F$2:$F$8,WEEKDAY($A212,2)))</f>
        <v/>
      </c>
      <c r="C212" s="23" t="str">
        <f aca="false">IF($A212="","",EOMONTH($A212,0))</f>
        <v/>
      </c>
      <c r="D212" s="24"/>
      <c r="E212" s="24"/>
      <c r="F212" s="25"/>
      <c r="G212" s="25"/>
      <c r="H212" s="26" t="str">
        <f aca="false">IF(OR($F212="",$G212=""),"",($G212-$F212+IF($G212&lt;$F212,1,0))*24)</f>
        <v/>
      </c>
      <c r="I212" s="27"/>
      <c r="J212" s="28"/>
      <c r="K212" s="29" t="str">
        <f aca="false">IF($J212="","",$J212*Config!$B$5)</f>
        <v/>
      </c>
      <c r="L212" s="28"/>
      <c r="M212" s="27"/>
      <c r="N212" s="28"/>
      <c r="O212" s="29" t="str">
        <f aca="false">IF($M212="","",$M212*Config!$B$6)</f>
        <v/>
      </c>
      <c r="P212" s="28"/>
      <c r="Q212" s="28"/>
      <c r="R212" s="30" t="str">
        <f aca="false">IF($J212="","",$J212-$K212+SUM($L212)-SUM($N212:$Q212))</f>
        <v/>
      </c>
      <c r="S212" s="30" t="str">
        <f aca="false">IF(OR($R212="",$H212="",$H212=0),"",$R212/$H212)</f>
        <v/>
      </c>
      <c r="T212" s="29" t="str">
        <f aca="false">IF(OR($R212="",$M212="",$M212=0),"",$R212/$M212)</f>
        <v/>
      </c>
      <c r="U212" s="26" t="str">
        <f aca="false">IF(OR($H212="",$H212=0,$I212=""),"",$I212/$H212)</f>
        <v/>
      </c>
      <c r="V212" s="24"/>
    </row>
    <row r="213" customFormat="false" ht="15" hidden="false" customHeight="false" outlineLevel="0" collapsed="false">
      <c r="A213" s="21"/>
      <c r="B213" s="22" t="str">
        <f aca="false">IF($A213="","",INDEX(Config!$F$2:$F$8,WEEKDAY($A213,2)))</f>
        <v/>
      </c>
      <c r="C213" s="23" t="str">
        <f aca="false">IF($A213="","",EOMONTH($A213,0))</f>
        <v/>
      </c>
      <c r="D213" s="24"/>
      <c r="E213" s="24"/>
      <c r="F213" s="25"/>
      <c r="G213" s="25"/>
      <c r="H213" s="26" t="str">
        <f aca="false">IF(OR($F213="",$G213=""),"",($G213-$F213+IF($G213&lt;$F213,1,0))*24)</f>
        <v/>
      </c>
      <c r="I213" s="27"/>
      <c r="J213" s="28"/>
      <c r="K213" s="29" t="str">
        <f aca="false">IF($J213="","",$J213*Config!$B$5)</f>
        <v/>
      </c>
      <c r="L213" s="28"/>
      <c r="M213" s="27"/>
      <c r="N213" s="28"/>
      <c r="O213" s="29" t="str">
        <f aca="false">IF($M213="","",$M213*Config!$B$6)</f>
        <v/>
      </c>
      <c r="P213" s="28"/>
      <c r="Q213" s="28"/>
      <c r="R213" s="30" t="str">
        <f aca="false">IF($J213="","",$J213-$K213+SUM($L213)-SUM($N213:$Q213))</f>
        <v/>
      </c>
      <c r="S213" s="30" t="str">
        <f aca="false">IF(OR($R213="",$H213="",$H213=0),"",$R213/$H213)</f>
        <v/>
      </c>
      <c r="T213" s="29" t="str">
        <f aca="false">IF(OR($R213="",$M213="",$M213=0),"",$R213/$M213)</f>
        <v/>
      </c>
      <c r="U213" s="26" t="str">
        <f aca="false">IF(OR($H213="",$H213=0,$I213=""),"",$I213/$H213)</f>
        <v/>
      </c>
      <c r="V213" s="24"/>
    </row>
    <row r="214" customFormat="false" ht="15" hidden="false" customHeight="false" outlineLevel="0" collapsed="false">
      <c r="A214" s="21"/>
      <c r="B214" s="22" t="str">
        <f aca="false">IF($A214="","",INDEX(Config!$F$2:$F$8,WEEKDAY($A214,2)))</f>
        <v/>
      </c>
      <c r="C214" s="23" t="str">
        <f aca="false">IF($A214="","",EOMONTH($A214,0))</f>
        <v/>
      </c>
      <c r="D214" s="24"/>
      <c r="E214" s="24"/>
      <c r="F214" s="25"/>
      <c r="G214" s="25"/>
      <c r="H214" s="26" t="str">
        <f aca="false">IF(OR($F214="",$G214=""),"",($G214-$F214+IF($G214&lt;$F214,1,0))*24)</f>
        <v/>
      </c>
      <c r="I214" s="27"/>
      <c r="J214" s="28"/>
      <c r="K214" s="29" t="str">
        <f aca="false">IF($J214="","",$J214*Config!$B$5)</f>
        <v/>
      </c>
      <c r="L214" s="28"/>
      <c r="M214" s="27"/>
      <c r="N214" s="28"/>
      <c r="O214" s="29" t="str">
        <f aca="false">IF($M214="","",$M214*Config!$B$6)</f>
        <v/>
      </c>
      <c r="P214" s="28"/>
      <c r="Q214" s="28"/>
      <c r="R214" s="30" t="str">
        <f aca="false">IF($J214="","",$J214-$K214+SUM($L214)-SUM($N214:$Q214))</f>
        <v/>
      </c>
      <c r="S214" s="30" t="str">
        <f aca="false">IF(OR($R214="",$H214="",$H214=0),"",$R214/$H214)</f>
        <v/>
      </c>
      <c r="T214" s="29" t="str">
        <f aca="false">IF(OR($R214="",$M214="",$M214=0),"",$R214/$M214)</f>
        <v/>
      </c>
      <c r="U214" s="26" t="str">
        <f aca="false">IF(OR($H214="",$H214=0,$I214=""),"",$I214/$H214)</f>
        <v/>
      </c>
      <c r="V214" s="24"/>
    </row>
    <row r="215" customFormat="false" ht="15" hidden="false" customHeight="false" outlineLevel="0" collapsed="false">
      <c r="A215" s="21"/>
      <c r="B215" s="22" t="str">
        <f aca="false">IF($A215="","",INDEX(Config!$F$2:$F$8,WEEKDAY($A215,2)))</f>
        <v/>
      </c>
      <c r="C215" s="23" t="str">
        <f aca="false">IF($A215="","",EOMONTH($A215,0))</f>
        <v/>
      </c>
      <c r="D215" s="24"/>
      <c r="E215" s="24"/>
      <c r="F215" s="25"/>
      <c r="G215" s="25"/>
      <c r="H215" s="26" t="str">
        <f aca="false">IF(OR($F215="",$G215=""),"",($G215-$F215+IF($G215&lt;$F215,1,0))*24)</f>
        <v/>
      </c>
      <c r="I215" s="27"/>
      <c r="J215" s="28"/>
      <c r="K215" s="29" t="str">
        <f aca="false">IF($J215="","",$J215*Config!$B$5)</f>
        <v/>
      </c>
      <c r="L215" s="28"/>
      <c r="M215" s="27"/>
      <c r="N215" s="28"/>
      <c r="O215" s="29" t="str">
        <f aca="false">IF($M215="","",$M215*Config!$B$6)</f>
        <v/>
      </c>
      <c r="P215" s="28"/>
      <c r="Q215" s="28"/>
      <c r="R215" s="30" t="str">
        <f aca="false">IF($J215="","",$J215-$K215+SUM($L215)-SUM($N215:$Q215))</f>
        <v/>
      </c>
      <c r="S215" s="30" t="str">
        <f aca="false">IF(OR($R215="",$H215="",$H215=0),"",$R215/$H215)</f>
        <v/>
      </c>
      <c r="T215" s="29" t="str">
        <f aca="false">IF(OR($R215="",$M215="",$M215=0),"",$R215/$M215)</f>
        <v/>
      </c>
      <c r="U215" s="26" t="str">
        <f aca="false">IF(OR($H215="",$H215=0,$I215=""),"",$I215/$H215)</f>
        <v/>
      </c>
      <c r="V215" s="24"/>
    </row>
    <row r="216" customFormat="false" ht="15" hidden="false" customHeight="false" outlineLevel="0" collapsed="false">
      <c r="A216" s="21"/>
      <c r="B216" s="22" t="str">
        <f aca="false">IF($A216="","",INDEX(Config!$F$2:$F$8,WEEKDAY($A216,2)))</f>
        <v/>
      </c>
      <c r="C216" s="23" t="str">
        <f aca="false">IF($A216="","",EOMONTH($A216,0))</f>
        <v/>
      </c>
      <c r="D216" s="24"/>
      <c r="E216" s="24"/>
      <c r="F216" s="25"/>
      <c r="G216" s="25"/>
      <c r="H216" s="26" t="str">
        <f aca="false">IF(OR($F216="",$G216=""),"",($G216-$F216+IF($G216&lt;$F216,1,0))*24)</f>
        <v/>
      </c>
      <c r="I216" s="27"/>
      <c r="J216" s="28"/>
      <c r="K216" s="29" t="str">
        <f aca="false">IF($J216="","",$J216*Config!$B$5)</f>
        <v/>
      </c>
      <c r="L216" s="28"/>
      <c r="M216" s="27"/>
      <c r="N216" s="28"/>
      <c r="O216" s="29" t="str">
        <f aca="false">IF($M216="","",$M216*Config!$B$6)</f>
        <v/>
      </c>
      <c r="P216" s="28"/>
      <c r="Q216" s="28"/>
      <c r="R216" s="30" t="str">
        <f aca="false">IF($J216="","",$J216-$K216+SUM($L216)-SUM($N216:$Q216))</f>
        <v/>
      </c>
      <c r="S216" s="30" t="str">
        <f aca="false">IF(OR($R216="",$H216="",$H216=0),"",$R216/$H216)</f>
        <v/>
      </c>
      <c r="T216" s="29" t="str">
        <f aca="false">IF(OR($R216="",$M216="",$M216=0),"",$R216/$M216)</f>
        <v/>
      </c>
      <c r="U216" s="26" t="str">
        <f aca="false">IF(OR($H216="",$H216=0,$I216=""),"",$I216/$H216)</f>
        <v/>
      </c>
      <c r="V216" s="24"/>
    </row>
    <row r="217" customFormat="false" ht="15" hidden="false" customHeight="false" outlineLevel="0" collapsed="false">
      <c r="A217" s="21"/>
      <c r="B217" s="22" t="str">
        <f aca="false">IF($A217="","",INDEX(Config!$F$2:$F$8,WEEKDAY($A217,2)))</f>
        <v/>
      </c>
      <c r="C217" s="23" t="str">
        <f aca="false">IF($A217="","",EOMONTH($A217,0))</f>
        <v/>
      </c>
      <c r="D217" s="24"/>
      <c r="E217" s="24"/>
      <c r="F217" s="25"/>
      <c r="G217" s="25"/>
      <c r="H217" s="26" t="str">
        <f aca="false">IF(OR($F217="",$G217=""),"",($G217-$F217+IF($G217&lt;$F217,1,0))*24)</f>
        <v/>
      </c>
      <c r="I217" s="27"/>
      <c r="J217" s="28"/>
      <c r="K217" s="29" t="str">
        <f aca="false">IF($J217="","",$J217*Config!$B$5)</f>
        <v/>
      </c>
      <c r="L217" s="28"/>
      <c r="M217" s="27"/>
      <c r="N217" s="28"/>
      <c r="O217" s="29" t="str">
        <f aca="false">IF($M217="","",$M217*Config!$B$6)</f>
        <v/>
      </c>
      <c r="P217" s="28"/>
      <c r="Q217" s="28"/>
      <c r="R217" s="30" t="str">
        <f aca="false">IF($J217="","",$J217-$K217+SUM($L217)-SUM($N217:$Q217))</f>
        <v/>
      </c>
      <c r="S217" s="30" t="str">
        <f aca="false">IF(OR($R217="",$H217="",$H217=0),"",$R217/$H217)</f>
        <v/>
      </c>
      <c r="T217" s="29" t="str">
        <f aca="false">IF(OR($R217="",$M217="",$M217=0),"",$R217/$M217)</f>
        <v/>
      </c>
      <c r="U217" s="26" t="str">
        <f aca="false">IF(OR($H217="",$H217=0,$I217=""),"",$I217/$H217)</f>
        <v/>
      </c>
      <c r="V217" s="24"/>
    </row>
    <row r="218" customFormat="false" ht="15" hidden="false" customHeight="false" outlineLevel="0" collapsed="false">
      <c r="A218" s="21"/>
      <c r="B218" s="22" t="str">
        <f aca="false">IF($A218="","",INDEX(Config!$F$2:$F$8,WEEKDAY($A218,2)))</f>
        <v/>
      </c>
      <c r="C218" s="23" t="str">
        <f aca="false">IF($A218="","",EOMONTH($A218,0))</f>
        <v/>
      </c>
      <c r="D218" s="24"/>
      <c r="E218" s="24"/>
      <c r="F218" s="25"/>
      <c r="G218" s="25"/>
      <c r="H218" s="26" t="str">
        <f aca="false">IF(OR($F218="",$G218=""),"",($G218-$F218+IF($G218&lt;$F218,1,0))*24)</f>
        <v/>
      </c>
      <c r="I218" s="27"/>
      <c r="J218" s="28"/>
      <c r="K218" s="29" t="str">
        <f aca="false">IF($J218="","",$J218*Config!$B$5)</f>
        <v/>
      </c>
      <c r="L218" s="28"/>
      <c r="M218" s="27"/>
      <c r="N218" s="28"/>
      <c r="O218" s="29" t="str">
        <f aca="false">IF($M218="","",$M218*Config!$B$6)</f>
        <v/>
      </c>
      <c r="P218" s="28"/>
      <c r="Q218" s="28"/>
      <c r="R218" s="30" t="str">
        <f aca="false">IF($J218="","",$J218-$K218+SUM($L218)-SUM($N218:$Q218))</f>
        <v/>
      </c>
      <c r="S218" s="30" t="str">
        <f aca="false">IF(OR($R218="",$H218="",$H218=0),"",$R218/$H218)</f>
        <v/>
      </c>
      <c r="T218" s="29" t="str">
        <f aca="false">IF(OR($R218="",$M218="",$M218=0),"",$R218/$M218)</f>
        <v/>
      </c>
      <c r="U218" s="26" t="str">
        <f aca="false">IF(OR($H218="",$H218=0,$I218=""),"",$I218/$H218)</f>
        <v/>
      </c>
      <c r="V218" s="24"/>
    </row>
    <row r="219" customFormat="false" ht="15" hidden="false" customHeight="false" outlineLevel="0" collapsed="false">
      <c r="A219" s="21"/>
      <c r="B219" s="22" t="str">
        <f aca="false">IF($A219="","",INDEX(Config!$F$2:$F$8,WEEKDAY($A219,2)))</f>
        <v/>
      </c>
      <c r="C219" s="23" t="str">
        <f aca="false">IF($A219="","",EOMONTH($A219,0))</f>
        <v/>
      </c>
      <c r="D219" s="24"/>
      <c r="E219" s="24"/>
      <c r="F219" s="25"/>
      <c r="G219" s="25"/>
      <c r="H219" s="26" t="str">
        <f aca="false">IF(OR($F219="",$G219=""),"",($G219-$F219+IF($G219&lt;$F219,1,0))*24)</f>
        <v/>
      </c>
      <c r="I219" s="27"/>
      <c r="J219" s="28"/>
      <c r="K219" s="29" t="str">
        <f aca="false">IF($J219="","",$J219*Config!$B$5)</f>
        <v/>
      </c>
      <c r="L219" s="28"/>
      <c r="M219" s="27"/>
      <c r="N219" s="28"/>
      <c r="O219" s="29" t="str">
        <f aca="false">IF($M219="","",$M219*Config!$B$6)</f>
        <v/>
      </c>
      <c r="P219" s="28"/>
      <c r="Q219" s="28"/>
      <c r="R219" s="30" t="str">
        <f aca="false">IF($J219="","",$J219-$K219+SUM($L219)-SUM($N219:$Q219))</f>
        <v/>
      </c>
      <c r="S219" s="30" t="str">
        <f aca="false">IF(OR($R219="",$H219="",$H219=0),"",$R219/$H219)</f>
        <v/>
      </c>
      <c r="T219" s="29" t="str">
        <f aca="false">IF(OR($R219="",$M219="",$M219=0),"",$R219/$M219)</f>
        <v/>
      </c>
      <c r="U219" s="26" t="str">
        <f aca="false">IF(OR($H219="",$H219=0,$I219=""),"",$I219/$H219)</f>
        <v/>
      </c>
      <c r="V219" s="24"/>
    </row>
    <row r="220" customFormat="false" ht="15" hidden="false" customHeight="false" outlineLevel="0" collapsed="false">
      <c r="A220" s="21"/>
      <c r="B220" s="22" t="str">
        <f aca="false">IF($A220="","",INDEX(Config!$F$2:$F$8,WEEKDAY($A220,2)))</f>
        <v/>
      </c>
      <c r="C220" s="23" t="str">
        <f aca="false">IF($A220="","",EOMONTH($A220,0))</f>
        <v/>
      </c>
      <c r="D220" s="24"/>
      <c r="E220" s="24"/>
      <c r="F220" s="25"/>
      <c r="G220" s="25"/>
      <c r="H220" s="26" t="str">
        <f aca="false">IF(OR($F220="",$G220=""),"",($G220-$F220+IF($G220&lt;$F220,1,0))*24)</f>
        <v/>
      </c>
      <c r="I220" s="27"/>
      <c r="J220" s="28"/>
      <c r="K220" s="29" t="str">
        <f aca="false">IF($J220="","",$J220*Config!$B$5)</f>
        <v/>
      </c>
      <c r="L220" s="28"/>
      <c r="M220" s="27"/>
      <c r="N220" s="28"/>
      <c r="O220" s="29" t="str">
        <f aca="false">IF($M220="","",$M220*Config!$B$6)</f>
        <v/>
      </c>
      <c r="P220" s="28"/>
      <c r="Q220" s="28"/>
      <c r="R220" s="30" t="str">
        <f aca="false">IF($J220="","",$J220-$K220+SUM($L220)-SUM($N220:$Q220))</f>
        <v/>
      </c>
      <c r="S220" s="30" t="str">
        <f aca="false">IF(OR($R220="",$H220="",$H220=0),"",$R220/$H220)</f>
        <v/>
      </c>
      <c r="T220" s="29" t="str">
        <f aca="false">IF(OR($R220="",$M220="",$M220=0),"",$R220/$M220)</f>
        <v/>
      </c>
      <c r="U220" s="26" t="str">
        <f aca="false">IF(OR($H220="",$H220=0,$I220=""),"",$I220/$H220)</f>
        <v/>
      </c>
      <c r="V220" s="24"/>
    </row>
    <row r="221" customFormat="false" ht="15" hidden="false" customHeight="false" outlineLevel="0" collapsed="false">
      <c r="A221" s="21"/>
      <c r="B221" s="22" t="str">
        <f aca="false">IF($A221="","",INDEX(Config!$F$2:$F$8,WEEKDAY($A221,2)))</f>
        <v/>
      </c>
      <c r="C221" s="23" t="str">
        <f aca="false">IF($A221="","",EOMONTH($A221,0))</f>
        <v/>
      </c>
      <c r="D221" s="24"/>
      <c r="E221" s="24"/>
      <c r="F221" s="25"/>
      <c r="G221" s="25"/>
      <c r="H221" s="26" t="str">
        <f aca="false">IF(OR($F221="",$G221=""),"",($G221-$F221+IF($G221&lt;$F221,1,0))*24)</f>
        <v/>
      </c>
      <c r="I221" s="27"/>
      <c r="J221" s="28"/>
      <c r="K221" s="29" t="str">
        <f aca="false">IF($J221="","",$J221*Config!$B$5)</f>
        <v/>
      </c>
      <c r="L221" s="28"/>
      <c r="M221" s="27"/>
      <c r="N221" s="28"/>
      <c r="O221" s="29" t="str">
        <f aca="false">IF($M221="","",$M221*Config!$B$6)</f>
        <v/>
      </c>
      <c r="P221" s="28"/>
      <c r="Q221" s="28"/>
      <c r="R221" s="30" t="str">
        <f aca="false">IF($J221="","",$J221-$K221+SUM($L221)-SUM($N221:$Q221))</f>
        <v/>
      </c>
      <c r="S221" s="30" t="str">
        <f aca="false">IF(OR($R221="",$H221="",$H221=0),"",$R221/$H221)</f>
        <v/>
      </c>
      <c r="T221" s="29" t="str">
        <f aca="false">IF(OR($R221="",$M221="",$M221=0),"",$R221/$M221)</f>
        <v/>
      </c>
      <c r="U221" s="26" t="str">
        <f aca="false">IF(OR($H221="",$H221=0,$I221=""),"",$I221/$H221)</f>
        <v/>
      </c>
      <c r="V221" s="24"/>
    </row>
    <row r="222" customFormat="false" ht="15" hidden="false" customHeight="false" outlineLevel="0" collapsed="false">
      <c r="A222" s="21"/>
      <c r="B222" s="22" t="str">
        <f aca="false">IF($A222="","",INDEX(Config!$F$2:$F$8,WEEKDAY($A222,2)))</f>
        <v/>
      </c>
      <c r="C222" s="23" t="str">
        <f aca="false">IF($A222="","",EOMONTH($A222,0))</f>
        <v/>
      </c>
      <c r="D222" s="24"/>
      <c r="E222" s="24"/>
      <c r="F222" s="25"/>
      <c r="G222" s="25"/>
      <c r="H222" s="26" t="str">
        <f aca="false">IF(OR($F222="",$G222=""),"",($G222-$F222+IF($G222&lt;$F222,1,0))*24)</f>
        <v/>
      </c>
      <c r="I222" s="27"/>
      <c r="J222" s="28"/>
      <c r="K222" s="29" t="str">
        <f aca="false">IF($J222="","",$J222*Config!$B$5)</f>
        <v/>
      </c>
      <c r="L222" s="28"/>
      <c r="M222" s="27"/>
      <c r="N222" s="28"/>
      <c r="O222" s="29" t="str">
        <f aca="false">IF($M222="","",$M222*Config!$B$6)</f>
        <v/>
      </c>
      <c r="P222" s="28"/>
      <c r="Q222" s="28"/>
      <c r="R222" s="30" t="str">
        <f aca="false">IF($J222="","",$J222-$K222+SUM($L222)-SUM($N222:$Q222))</f>
        <v/>
      </c>
      <c r="S222" s="30" t="str">
        <f aca="false">IF(OR($R222="",$H222="",$H222=0),"",$R222/$H222)</f>
        <v/>
      </c>
      <c r="T222" s="29" t="str">
        <f aca="false">IF(OR($R222="",$M222="",$M222=0),"",$R222/$M222)</f>
        <v/>
      </c>
      <c r="U222" s="26" t="str">
        <f aca="false">IF(OR($H222="",$H222=0,$I222=""),"",$I222/$H222)</f>
        <v/>
      </c>
      <c r="V222" s="24"/>
    </row>
    <row r="223" customFormat="false" ht="15" hidden="false" customHeight="false" outlineLevel="0" collapsed="false">
      <c r="A223" s="21"/>
      <c r="B223" s="22" t="str">
        <f aca="false">IF($A223="","",INDEX(Config!$F$2:$F$8,WEEKDAY($A223,2)))</f>
        <v/>
      </c>
      <c r="C223" s="23" t="str">
        <f aca="false">IF($A223="","",EOMONTH($A223,0))</f>
        <v/>
      </c>
      <c r="D223" s="24"/>
      <c r="E223" s="24"/>
      <c r="F223" s="25"/>
      <c r="G223" s="25"/>
      <c r="H223" s="26" t="str">
        <f aca="false">IF(OR($F223="",$G223=""),"",($G223-$F223+IF($G223&lt;$F223,1,0))*24)</f>
        <v/>
      </c>
      <c r="I223" s="27"/>
      <c r="J223" s="28"/>
      <c r="K223" s="29" t="str">
        <f aca="false">IF($J223="","",$J223*Config!$B$5)</f>
        <v/>
      </c>
      <c r="L223" s="28"/>
      <c r="M223" s="27"/>
      <c r="N223" s="28"/>
      <c r="O223" s="29" t="str">
        <f aca="false">IF($M223="","",$M223*Config!$B$6)</f>
        <v/>
      </c>
      <c r="P223" s="28"/>
      <c r="Q223" s="28"/>
      <c r="R223" s="30" t="str">
        <f aca="false">IF($J223="","",$J223-$K223+SUM($L223)-SUM($N223:$Q223))</f>
        <v/>
      </c>
      <c r="S223" s="30" t="str">
        <f aca="false">IF(OR($R223="",$H223="",$H223=0),"",$R223/$H223)</f>
        <v/>
      </c>
      <c r="T223" s="29" t="str">
        <f aca="false">IF(OR($R223="",$M223="",$M223=0),"",$R223/$M223)</f>
        <v/>
      </c>
      <c r="U223" s="26" t="str">
        <f aca="false">IF(OR($H223="",$H223=0,$I223=""),"",$I223/$H223)</f>
        <v/>
      </c>
      <c r="V223" s="24"/>
    </row>
    <row r="224" customFormat="false" ht="15" hidden="false" customHeight="false" outlineLevel="0" collapsed="false">
      <c r="A224" s="21"/>
      <c r="B224" s="22" t="str">
        <f aca="false">IF($A224="","",INDEX(Config!$F$2:$F$8,WEEKDAY($A224,2)))</f>
        <v/>
      </c>
      <c r="C224" s="23" t="str">
        <f aca="false">IF($A224="","",EOMONTH($A224,0))</f>
        <v/>
      </c>
      <c r="D224" s="24"/>
      <c r="E224" s="24"/>
      <c r="F224" s="25"/>
      <c r="G224" s="25"/>
      <c r="H224" s="26" t="str">
        <f aca="false">IF(OR($F224="",$G224=""),"",($G224-$F224+IF($G224&lt;$F224,1,0))*24)</f>
        <v/>
      </c>
      <c r="I224" s="27"/>
      <c r="J224" s="28"/>
      <c r="K224" s="29" t="str">
        <f aca="false">IF($J224="","",$J224*Config!$B$5)</f>
        <v/>
      </c>
      <c r="L224" s="28"/>
      <c r="M224" s="27"/>
      <c r="N224" s="28"/>
      <c r="O224" s="29" t="str">
        <f aca="false">IF($M224="","",$M224*Config!$B$6)</f>
        <v/>
      </c>
      <c r="P224" s="28"/>
      <c r="Q224" s="28"/>
      <c r="R224" s="30" t="str">
        <f aca="false">IF($J224="","",$J224-$K224+SUM($L224)-SUM($N224:$Q224))</f>
        <v/>
      </c>
      <c r="S224" s="30" t="str">
        <f aca="false">IF(OR($R224="",$H224="",$H224=0),"",$R224/$H224)</f>
        <v/>
      </c>
      <c r="T224" s="29" t="str">
        <f aca="false">IF(OR($R224="",$M224="",$M224=0),"",$R224/$M224)</f>
        <v/>
      </c>
      <c r="U224" s="26" t="str">
        <f aca="false">IF(OR($H224="",$H224=0,$I224=""),"",$I224/$H224)</f>
        <v/>
      </c>
      <c r="V224" s="24"/>
    </row>
    <row r="225" customFormat="false" ht="15" hidden="false" customHeight="false" outlineLevel="0" collapsed="false">
      <c r="A225" s="21"/>
      <c r="B225" s="22" t="str">
        <f aca="false">IF($A225="","",INDEX(Config!$F$2:$F$8,WEEKDAY($A225,2)))</f>
        <v/>
      </c>
      <c r="C225" s="23" t="str">
        <f aca="false">IF($A225="","",EOMONTH($A225,0))</f>
        <v/>
      </c>
      <c r="D225" s="24"/>
      <c r="E225" s="24"/>
      <c r="F225" s="25"/>
      <c r="G225" s="25"/>
      <c r="H225" s="26" t="str">
        <f aca="false">IF(OR($F225="",$G225=""),"",($G225-$F225+IF($G225&lt;$F225,1,0))*24)</f>
        <v/>
      </c>
      <c r="I225" s="27"/>
      <c r="J225" s="28"/>
      <c r="K225" s="29" t="str">
        <f aca="false">IF($J225="","",$J225*Config!$B$5)</f>
        <v/>
      </c>
      <c r="L225" s="28"/>
      <c r="M225" s="27"/>
      <c r="N225" s="28"/>
      <c r="O225" s="29" t="str">
        <f aca="false">IF($M225="","",$M225*Config!$B$6)</f>
        <v/>
      </c>
      <c r="P225" s="28"/>
      <c r="Q225" s="28"/>
      <c r="R225" s="30" t="str">
        <f aca="false">IF($J225="","",$J225-$K225+SUM($L225)-SUM($N225:$Q225))</f>
        <v/>
      </c>
      <c r="S225" s="30" t="str">
        <f aca="false">IF(OR($R225="",$H225="",$H225=0),"",$R225/$H225)</f>
        <v/>
      </c>
      <c r="T225" s="29" t="str">
        <f aca="false">IF(OR($R225="",$M225="",$M225=0),"",$R225/$M225)</f>
        <v/>
      </c>
      <c r="U225" s="26" t="str">
        <f aca="false">IF(OR($H225="",$H225=0,$I225=""),"",$I225/$H225)</f>
        <v/>
      </c>
      <c r="V225" s="24"/>
    </row>
    <row r="226" customFormat="false" ht="15" hidden="false" customHeight="false" outlineLevel="0" collapsed="false">
      <c r="A226" s="21"/>
      <c r="B226" s="22" t="str">
        <f aca="false">IF($A226="","",INDEX(Config!$F$2:$F$8,WEEKDAY($A226,2)))</f>
        <v/>
      </c>
      <c r="C226" s="23" t="str">
        <f aca="false">IF($A226="","",EOMONTH($A226,0))</f>
        <v/>
      </c>
      <c r="D226" s="24"/>
      <c r="E226" s="24"/>
      <c r="F226" s="25"/>
      <c r="G226" s="25"/>
      <c r="H226" s="26" t="str">
        <f aca="false">IF(OR($F226="",$G226=""),"",($G226-$F226+IF($G226&lt;$F226,1,0))*24)</f>
        <v/>
      </c>
      <c r="I226" s="27"/>
      <c r="J226" s="28"/>
      <c r="K226" s="29" t="str">
        <f aca="false">IF($J226="","",$J226*Config!$B$5)</f>
        <v/>
      </c>
      <c r="L226" s="28"/>
      <c r="M226" s="27"/>
      <c r="N226" s="28"/>
      <c r="O226" s="29" t="str">
        <f aca="false">IF($M226="","",$M226*Config!$B$6)</f>
        <v/>
      </c>
      <c r="P226" s="28"/>
      <c r="Q226" s="28"/>
      <c r="R226" s="30" t="str">
        <f aca="false">IF($J226="","",$J226-$K226+SUM($L226)-SUM($N226:$Q226))</f>
        <v/>
      </c>
      <c r="S226" s="30" t="str">
        <f aca="false">IF(OR($R226="",$H226="",$H226=0),"",$R226/$H226)</f>
        <v/>
      </c>
      <c r="T226" s="29" t="str">
        <f aca="false">IF(OR($R226="",$M226="",$M226=0),"",$R226/$M226)</f>
        <v/>
      </c>
      <c r="U226" s="26" t="str">
        <f aca="false">IF(OR($H226="",$H226=0,$I226=""),"",$I226/$H226)</f>
        <v/>
      </c>
      <c r="V226" s="24"/>
    </row>
    <row r="227" customFormat="false" ht="15" hidden="false" customHeight="false" outlineLevel="0" collapsed="false">
      <c r="A227" s="21"/>
      <c r="B227" s="22" t="str">
        <f aca="false">IF($A227="","",INDEX(Config!$F$2:$F$8,WEEKDAY($A227,2)))</f>
        <v/>
      </c>
      <c r="C227" s="23" t="str">
        <f aca="false">IF($A227="","",EOMONTH($A227,0))</f>
        <v/>
      </c>
      <c r="D227" s="24"/>
      <c r="E227" s="24"/>
      <c r="F227" s="25"/>
      <c r="G227" s="25"/>
      <c r="H227" s="26" t="str">
        <f aca="false">IF(OR($F227="",$G227=""),"",($G227-$F227+IF($G227&lt;$F227,1,0))*24)</f>
        <v/>
      </c>
      <c r="I227" s="27"/>
      <c r="J227" s="28"/>
      <c r="K227" s="29" t="str">
        <f aca="false">IF($J227="","",$J227*Config!$B$5)</f>
        <v/>
      </c>
      <c r="L227" s="28"/>
      <c r="M227" s="27"/>
      <c r="N227" s="28"/>
      <c r="O227" s="29" t="str">
        <f aca="false">IF($M227="","",$M227*Config!$B$6)</f>
        <v/>
      </c>
      <c r="P227" s="28"/>
      <c r="Q227" s="28"/>
      <c r="R227" s="30" t="str">
        <f aca="false">IF($J227="","",$J227-$K227+SUM($L227)-SUM($N227:$Q227))</f>
        <v/>
      </c>
      <c r="S227" s="30" t="str">
        <f aca="false">IF(OR($R227="",$H227="",$H227=0),"",$R227/$H227)</f>
        <v/>
      </c>
      <c r="T227" s="29" t="str">
        <f aca="false">IF(OR($R227="",$M227="",$M227=0),"",$R227/$M227)</f>
        <v/>
      </c>
      <c r="U227" s="26" t="str">
        <f aca="false">IF(OR($H227="",$H227=0,$I227=""),"",$I227/$H227)</f>
        <v/>
      </c>
      <c r="V227" s="24"/>
    </row>
    <row r="228" customFormat="false" ht="15" hidden="false" customHeight="false" outlineLevel="0" collapsed="false">
      <c r="A228" s="21"/>
      <c r="B228" s="22" t="str">
        <f aca="false">IF($A228="","",INDEX(Config!$F$2:$F$8,WEEKDAY($A228,2)))</f>
        <v/>
      </c>
      <c r="C228" s="23" t="str">
        <f aca="false">IF($A228="","",EOMONTH($A228,0))</f>
        <v/>
      </c>
      <c r="D228" s="24"/>
      <c r="E228" s="24"/>
      <c r="F228" s="25"/>
      <c r="G228" s="25"/>
      <c r="H228" s="26" t="str">
        <f aca="false">IF(OR($F228="",$G228=""),"",($G228-$F228+IF($G228&lt;$F228,1,0))*24)</f>
        <v/>
      </c>
      <c r="I228" s="27"/>
      <c r="J228" s="28"/>
      <c r="K228" s="29" t="str">
        <f aca="false">IF($J228="","",$J228*Config!$B$5)</f>
        <v/>
      </c>
      <c r="L228" s="28"/>
      <c r="M228" s="27"/>
      <c r="N228" s="28"/>
      <c r="O228" s="29" t="str">
        <f aca="false">IF($M228="","",$M228*Config!$B$6)</f>
        <v/>
      </c>
      <c r="P228" s="28"/>
      <c r="Q228" s="28"/>
      <c r="R228" s="30" t="str">
        <f aca="false">IF($J228="","",$J228-$K228+SUM($L228)-SUM($N228:$Q228))</f>
        <v/>
      </c>
      <c r="S228" s="30" t="str">
        <f aca="false">IF(OR($R228="",$H228="",$H228=0),"",$R228/$H228)</f>
        <v/>
      </c>
      <c r="T228" s="29" t="str">
        <f aca="false">IF(OR($R228="",$M228="",$M228=0),"",$R228/$M228)</f>
        <v/>
      </c>
      <c r="U228" s="26" t="str">
        <f aca="false">IF(OR($H228="",$H228=0,$I228=""),"",$I228/$H228)</f>
        <v/>
      </c>
      <c r="V228" s="24"/>
    </row>
    <row r="229" customFormat="false" ht="15" hidden="false" customHeight="false" outlineLevel="0" collapsed="false">
      <c r="A229" s="21"/>
      <c r="B229" s="22" t="str">
        <f aca="false">IF($A229="","",INDEX(Config!$F$2:$F$8,WEEKDAY($A229,2)))</f>
        <v/>
      </c>
      <c r="C229" s="23" t="str">
        <f aca="false">IF($A229="","",EOMONTH($A229,0))</f>
        <v/>
      </c>
      <c r="D229" s="24"/>
      <c r="E229" s="24"/>
      <c r="F229" s="25"/>
      <c r="G229" s="25"/>
      <c r="H229" s="26" t="str">
        <f aca="false">IF(OR($F229="",$G229=""),"",($G229-$F229+IF($G229&lt;$F229,1,0))*24)</f>
        <v/>
      </c>
      <c r="I229" s="27"/>
      <c r="J229" s="28"/>
      <c r="K229" s="29" t="str">
        <f aca="false">IF($J229="","",$J229*Config!$B$5)</f>
        <v/>
      </c>
      <c r="L229" s="28"/>
      <c r="M229" s="27"/>
      <c r="N229" s="28"/>
      <c r="O229" s="29" t="str">
        <f aca="false">IF($M229="","",$M229*Config!$B$6)</f>
        <v/>
      </c>
      <c r="P229" s="28"/>
      <c r="Q229" s="28"/>
      <c r="R229" s="30" t="str">
        <f aca="false">IF($J229="","",$J229-$K229+SUM($L229)-SUM($N229:$Q229))</f>
        <v/>
      </c>
      <c r="S229" s="30" t="str">
        <f aca="false">IF(OR($R229="",$H229="",$H229=0),"",$R229/$H229)</f>
        <v/>
      </c>
      <c r="T229" s="29" t="str">
        <f aca="false">IF(OR($R229="",$M229="",$M229=0),"",$R229/$M229)</f>
        <v/>
      </c>
      <c r="U229" s="26" t="str">
        <f aca="false">IF(OR($H229="",$H229=0,$I229=""),"",$I229/$H229)</f>
        <v/>
      </c>
      <c r="V229" s="24"/>
    </row>
    <row r="230" customFormat="false" ht="15" hidden="false" customHeight="false" outlineLevel="0" collapsed="false">
      <c r="A230" s="21"/>
      <c r="B230" s="22" t="str">
        <f aca="false">IF($A230="","",INDEX(Config!$F$2:$F$8,WEEKDAY($A230,2)))</f>
        <v/>
      </c>
      <c r="C230" s="23" t="str">
        <f aca="false">IF($A230="","",EOMONTH($A230,0))</f>
        <v/>
      </c>
      <c r="D230" s="24"/>
      <c r="E230" s="24"/>
      <c r="F230" s="25"/>
      <c r="G230" s="25"/>
      <c r="H230" s="26" t="str">
        <f aca="false">IF(OR($F230="",$G230=""),"",($G230-$F230+IF($G230&lt;$F230,1,0))*24)</f>
        <v/>
      </c>
      <c r="I230" s="27"/>
      <c r="J230" s="28"/>
      <c r="K230" s="29" t="str">
        <f aca="false">IF($J230="","",$J230*Config!$B$5)</f>
        <v/>
      </c>
      <c r="L230" s="28"/>
      <c r="M230" s="27"/>
      <c r="N230" s="28"/>
      <c r="O230" s="29" t="str">
        <f aca="false">IF($M230="","",$M230*Config!$B$6)</f>
        <v/>
      </c>
      <c r="P230" s="28"/>
      <c r="Q230" s="28"/>
      <c r="R230" s="30" t="str">
        <f aca="false">IF($J230="","",$J230-$K230+SUM($L230)-SUM($N230:$Q230))</f>
        <v/>
      </c>
      <c r="S230" s="30" t="str">
        <f aca="false">IF(OR($R230="",$H230="",$H230=0),"",$R230/$H230)</f>
        <v/>
      </c>
      <c r="T230" s="29" t="str">
        <f aca="false">IF(OR($R230="",$M230="",$M230=0),"",$R230/$M230)</f>
        <v/>
      </c>
      <c r="U230" s="26" t="str">
        <f aca="false">IF(OR($H230="",$H230=0,$I230=""),"",$I230/$H230)</f>
        <v/>
      </c>
      <c r="V230" s="24"/>
    </row>
    <row r="231" customFormat="false" ht="15" hidden="false" customHeight="false" outlineLevel="0" collapsed="false">
      <c r="A231" s="21"/>
      <c r="B231" s="22" t="str">
        <f aca="false">IF($A231="","",INDEX(Config!$F$2:$F$8,WEEKDAY($A231,2)))</f>
        <v/>
      </c>
      <c r="C231" s="23" t="str">
        <f aca="false">IF($A231="","",EOMONTH($A231,0))</f>
        <v/>
      </c>
      <c r="D231" s="24"/>
      <c r="E231" s="24"/>
      <c r="F231" s="25"/>
      <c r="G231" s="25"/>
      <c r="H231" s="26" t="str">
        <f aca="false">IF(OR($F231="",$G231=""),"",($G231-$F231+IF($G231&lt;$F231,1,0))*24)</f>
        <v/>
      </c>
      <c r="I231" s="27"/>
      <c r="J231" s="28"/>
      <c r="K231" s="29" t="str">
        <f aca="false">IF($J231="","",$J231*Config!$B$5)</f>
        <v/>
      </c>
      <c r="L231" s="28"/>
      <c r="M231" s="27"/>
      <c r="N231" s="28"/>
      <c r="O231" s="29" t="str">
        <f aca="false">IF($M231="","",$M231*Config!$B$6)</f>
        <v/>
      </c>
      <c r="P231" s="28"/>
      <c r="Q231" s="28"/>
      <c r="R231" s="30" t="str">
        <f aca="false">IF($J231="","",$J231-$K231+SUM($L231)-SUM($N231:$Q231))</f>
        <v/>
      </c>
      <c r="S231" s="30" t="str">
        <f aca="false">IF(OR($R231="",$H231="",$H231=0),"",$R231/$H231)</f>
        <v/>
      </c>
      <c r="T231" s="29" t="str">
        <f aca="false">IF(OR($R231="",$M231="",$M231=0),"",$R231/$M231)</f>
        <v/>
      </c>
      <c r="U231" s="26" t="str">
        <f aca="false">IF(OR($H231="",$H231=0,$I231=""),"",$I231/$H231)</f>
        <v/>
      </c>
      <c r="V231" s="24"/>
    </row>
    <row r="232" customFormat="false" ht="15" hidden="false" customHeight="false" outlineLevel="0" collapsed="false">
      <c r="A232" s="21"/>
      <c r="B232" s="22" t="str">
        <f aca="false">IF($A232="","",INDEX(Config!$F$2:$F$8,WEEKDAY($A232,2)))</f>
        <v/>
      </c>
      <c r="C232" s="23" t="str">
        <f aca="false">IF($A232="","",EOMONTH($A232,0))</f>
        <v/>
      </c>
      <c r="D232" s="24"/>
      <c r="E232" s="24"/>
      <c r="F232" s="25"/>
      <c r="G232" s="25"/>
      <c r="H232" s="26" t="str">
        <f aca="false">IF(OR($F232="",$G232=""),"",($G232-$F232+IF($G232&lt;$F232,1,0))*24)</f>
        <v/>
      </c>
      <c r="I232" s="27"/>
      <c r="J232" s="28"/>
      <c r="K232" s="29" t="str">
        <f aca="false">IF($J232="","",$J232*Config!$B$5)</f>
        <v/>
      </c>
      <c r="L232" s="28"/>
      <c r="M232" s="27"/>
      <c r="N232" s="28"/>
      <c r="O232" s="29" t="str">
        <f aca="false">IF($M232="","",$M232*Config!$B$6)</f>
        <v/>
      </c>
      <c r="P232" s="28"/>
      <c r="Q232" s="28"/>
      <c r="R232" s="30" t="str">
        <f aca="false">IF($J232="","",$J232-$K232+SUM($L232)-SUM($N232:$Q232))</f>
        <v/>
      </c>
      <c r="S232" s="30" t="str">
        <f aca="false">IF(OR($R232="",$H232="",$H232=0),"",$R232/$H232)</f>
        <v/>
      </c>
      <c r="T232" s="29" t="str">
        <f aca="false">IF(OR($R232="",$M232="",$M232=0),"",$R232/$M232)</f>
        <v/>
      </c>
      <c r="U232" s="26" t="str">
        <f aca="false">IF(OR($H232="",$H232=0,$I232=""),"",$I232/$H232)</f>
        <v/>
      </c>
      <c r="V232" s="24"/>
    </row>
    <row r="233" customFormat="false" ht="15" hidden="false" customHeight="false" outlineLevel="0" collapsed="false">
      <c r="A233" s="21"/>
      <c r="B233" s="22" t="str">
        <f aca="false">IF($A233="","",INDEX(Config!$F$2:$F$8,WEEKDAY($A233,2)))</f>
        <v/>
      </c>
      <c r="C233" s="23" t="str">
        <f aca="false">IF($A233="","",EOMONTH($A233,0))</f>
        <v/>
      </c>
      <c r="D233" s="24"/>
      <c r="E233" s="24"/>
      <c r="F233" s="25"/>
      <c r="G233" s="25"/>
      <c r="H233" s="26" t="str">
        <f aca="false">IF(OR($F233="",$G233=""),"",($G233-$F233+IF($G233&lt;$F233,1,0))*24)</f>
        <v/>
      </c>
      <c r="I233" s="27"/>
      <c r="J233" s="28"/>
      <c r="K233" s="29" t="str">
        <f aca="false">IF($J233="","",$J233*Config!$B$5)</f>
        <v/>
      </c>
      <c r="L233" s="28"/>
      <c r="M233" s="27"/>
      <c r="N233" s="28"/>
      <c r="O233" s="29" t="str">
        <f aca="false">IF($M233="","",$M233*Config!$B$6)</f>
        <v/>
      </c>
      <c r="P233" s="28"/>
      <c r="Q233" s="28"/>
      <c r="R233" s="30" t="str">
        <f aca="false">IF($J233="","",$J233-$K233+SUM($L233)-SUM($N233:$Q233))</f>
        <v/>
      </c>
      <c r="S233" s="30" t="str">
        <f aca="false">IF(OR($R233="",$H233="",$H233=0),"",$R233/$H233)</f>
        <v/>
      </c>
      <c r="T233" s="29" t="str">
        <f aca="false">IF(OR($R233="",$M233="",$M233=0),"",$R233/$M233)</f>
        <v/>
      </c>
      <c r="U233" s="26" t="str">
        <f aca="false">IF(OR($H233="",$H233=0,$I233=""),"",$I233/$H233)</f>
        <v/>
      </c>
      <c r="V233" s="24"/>
    </row>
    <row r="234" customFormat="false" ht="15" hidden="false" customHeight="false" outlineLevel="0" collapsed="false">
      <c r="A234" s="21"/>
      <c r="B234" s="22" t="str">
        <f aca="false">IF($A234="","",INDEX(Config!$F$2:$F$8,WEEKDAY($A234,2)))</f>
        <v/>
      </c>
      <c r="C234" s="23" t="str">
        <f aca="false">IF($A234="","",EOMONTH($A234,0))</f>
        <v/>
      </c>
      <c r="D234" s="24"/>
      <c r="E234" s="24"/>
      <c r="F234" s="25"/>
      <c r="G234" s="25"/>
      <c r="H234" s="26" t="str">
        <f aca="false">IF(OR($F234="",$G234=""),"",($G234-$F234+IF($G234&lt;$F234,1,0))*24)</f>
        <v/>
      </c>
      <c r="I234" s="27"/>
      <c r="J234" s="28"/>
      <c r="K234" s="29" t="str">
        <f aca="false">IF($J234="","",$J234*Config!$B$5)</f>
        <v/>
      </c>
      <c r="L234" s="28"/>
      <c r="M234" s="27"/>
      <c r="N234" s="28"/>
      <c r="O234" s="29" t="str">
        <f aca="false">IF($M234="","",$M234*Config!$B$6)</f>
        <v/>
      </c>
      <c r="P234" s="28"/>
      <c r="Q234" s="28"/>
      <c r="R234" s="30" t="str">
        <f aca="false">IF($J234="","",$J234-$K234+SUM($L234)-SUM($N234:$Q234))</f>
        <v/>
      </c>
      <c r="S234" s="30" t="str">
        <f aca="false">IF(OR($R234="",$H234="",$H234=0),"",$R234/$H234)</f>
        <v/>
      </c>
      <c r="T234" s="29" t="str">
        <f aca="false">IF(OR($R234="",$M234="",$M234=0),"",$R234/$M234)</f>
        <v/>
      </c>
      <c r="U234" s="26" t="str">
        <f aca="false">IF(OR($H234="",$H234=0,$I234=""),"",$I234/$H234)</f>
        <v/>
      </c>
      <c r="V234" s="24"/>
    </row>
    <row r="235" customFormat="false" ht="15" hidden="false" customHeight="false" outlineLevel="0" collapsed="false">
      <c r="A235" s="21"/>
      <c r="B235" s="22" t="str">
        <f aca="false">IF($A235="","",INDEX(Config!$F$2:$F$8,WEEKDAY($A235,2)))</f>
        <v/>
      </c>
      <c r="C235" s="23" t="str">
        <f aca="false">IF($A235="","",EOMONTH($A235,0))</f>
        <v/>
      </c>
      <c r="D235" s="24"/>
      <c r="E235" s="24"/>
      <c r="F235" s="25"/>
      <c r="G235" s="25"/>
      <c r="H235" s="26" t="str">
        <f aca="false">IF(OR($F235="",$G235=""),"",($G235-$F235+IF($G235&lt;$F235,1,0))*24)</f>
        <v/>
      </c>
      <c r="I235" s="27"/>
      <c r="J235" s="28"/>
      <c r="K235" s="29" t="str">
        <f aca="false">IF($J235="","",$J235*Config!$B$5)</f>
        <v/>
      </c>
      <c r="L235" s="28"/>
      <c r="M235" s="27"/>
      <c r="N235" s="28"/>
      <c r="O235" s="29" t="str">
        <f aca="false">IF($M235="","",$M235*Config!$B$6)</f>
        <v/>
      </c>
      <c r="P235" s="28"/>
      <c r="Q235" s="28"/>
      <c r="R235" s="30" t="str">
        <f aca="false">IF($J235="","",$J235-$K235+SUM($L235)-SUM($N235:$Q235))</f>
        <v/>
      </c>
      <c r="S235" s="30" t="str">
        <f aca="false">IF(OR($R235="",$H235="",$H235=0),"",$R235/$H235)</f>
        <v/>
      </c>
      <c r="T235" s="29" t="str">
        <f aca="false">IF(OR($R235="",$M235="",$M235=0),"",$R235/$M235)</f>
        <v/>
      </c>
      <c r="U235" s="26" t="str">
        <f aca="false">IF(OR($H235="",$H235=0,$I235=""),"",$I235/$H235)</f>
        <v/>
      </c>
      <c r="V235" s="24"/>
    </row>
    <row r="236" customFormat="false" ht="15" hidden="false" customHeight="false" outlineLevel="0" collapsed="false">
      <c r="A236" s="21"/>
      <c r="B236" s="22" t="str">
        <f aca="false">IF($A236="","",INDEX(Config!$F$2:$F$8,WEEKDAY($A236,2)))</f>
        <v/>
      </c>
      <c r="C236" s="23" t="str">
        <f aca="false">IF($A236="","",EOMONTH($A236,0))</f>
        <v/>
      </c>
      <c r="D236" s="24"/>
      <c r="E236" s="24"/>
      <c r="F236" s="25"/>
      <c r="G236" s="25"/>
      <c r="H236" s="26" t="str">
        <f aca="false">IF(OR($F236="",$G236=""),"",($G236-$F236+IF($G236&lt;$F236,1,0))*24)</f>
        <v/>
      </c>
      <c r="I236" s="27"/>
      <c r="J236" s="28"/>
      <c r="K236" s="29" t="str">
        <f aca="false">IF($J236="","",$J236*Config!$B$5)</f>
        <v/>
      </c>
      <c r="L236" s="28"/>
      <c r="M236" s="27"/>
      <c r="N236" s="28"/>
      <c r="O236" s="29" t="str">
        <f aca="false">IF($M236="","",$M236*Config!$B$6)</f>
        <v/>
      </c>
      <c r="P236" s="28"/>
      <c r="Q236" s="28"/>
      <c r="R236" s="30" t="str">
        <f aca="false">IF($J236="","",$J236-$K236+SUM($L236)-SUM($N236:$Q236))</f>
        <v/>
      </c>
      <c r="S236" s="30" t="str">
        <f aca="false">IF(OR($R236="",$H236="",$H236=0),"",$R236/$H236)</f>
        <v/>
      </c>
      <c r="T236" s="29" t="str">
        <f aca="false">IF(OR($R236="",$M236="",$M236=0),"",$R236/$M236)</f>
        <v/>
      </c>
      <c r="U236" s="26" t="str">
        <f aca="false">IF(OR($H236="",$H236=0,$I236=""),"",$I236/$H236)</f>
        <v/>
      </c>
      <c r="V236" s="24"/>
    </row>
    <row r="237" customFormat="false" ht="15" hidden="false" customHeight="false" outlineLevel="0" collapsed="false">
      <c r="A237" s="21"/>
      <c r="B237" s="22" t="str">
        <f aca="false">IF($A237="","",INDEX(Config!$F$2:$F$8,WEEKDAY($A237,2)))</f>
        <v/>
      </c>
      <c r="C237" s="23" t="str">
        <f aca="false">IF($A237="","",EOMONTH($A237,0))</f>
        <v/>
      </c>
      <c r="D237" s="24"/>
      <c r="E237" s="24"/>
      <c r="F237" s="25"/>
      <c r="G237" s="25"/>
      <c r="H237" s="26" t="str">
        <f aca="false">IF(OR($F237="",$G237=""),"",($G237-$F237+IF($G237&lt;$F237,1,0))*24)</f>
        <v/>
      </c>
      <c r="I237" s="27"/>
      <c r="J237" s="28"/>
      <c r="K237" s="29" t="str">
        <f aca="false">IF($J237="","",$J237*Config!$B$5)</f>
        <v/>
      </c>
      <c r="L237" s="28"/>
      <c r="M237" s="27"/>
      <c r="N237" s="28"/>
      <c r="O237" s="29" t="str">
        <f aca="false">IF($M237="","",$M237*Config!$B$6)</f>
        <v/>
      </c>
      <c r="P237" s="28"/>
      <c r="Q237" s="28"/>
      <c r="R237" s="30" t="str">
        <f aca="false">IF($J237="","",$J237-$K237+SUM($L237)-SUM($N237:$Q237))</f>
        <v/>
      </c>
      <c r="S237" s="30" t="str">
        <f aca="false">IF(OR($R237="",$H237="",$H237=0),"",$R237/$H237)</f>
        <v/>
      </c>
      <c r="T237" s="29" t="str">
        <f aca="false">IF(OR($R237="",$M237="",$M237=0),"",$R237/$M237)</f>
        <v/>
      </c>
      <c r="U237" s="26" t="str">
        <f aca="false">IF(OR($H237="",$H237=0,$I237=""),"",$I237/$H237)</f>
        <v/>
      </c>
      <c r="V237" s="24"/>
    </row>
    <row r="238" customFormat="false" ht="15" hidden="false" customHeight="false" outlineLevel="0" collapsed="false">
      <c r="A238" s="21"/>
      <c r="B238" s="22" t="str">
        <f aca="false">IF($A238="","",INDEX(Config!$F$2:$F$8,WEEKDAY($A238,2)))</f>
        <v/>
      </c>
      <c r="C238" s="23" t="str">
        <f aca="false">IF($A238="","",EOMONTH($A238,0))</f>
        <v/>
      </c>
      <c r="D238" s="24"/>
      <c r="E238" s="24"/>
      <c r="F238" s="25"/>
      <c r="G238" s="25"/>
      <c r="H238" s="26" t="str">
        <f aca="false">IF(OR($F238="",$G238=""),"",($G238-$F238+IF($G238&lt;$F238,1,0))*24)</f>
        <v/>
      </c>
      <c r="I238" s="27"/>
      <c r="J238" s="28"/>
      <c r="K238" s="29" t="str">
        <f aca="false">IF($J238="","",$J238*Config!$B$5)</f>
        <v/>
      </c>
      <c r="L238" s="28"/>
      <c r="M238" s="27"/>
      <c r="N238" s="28"/>
      <c r="O238" s="29" t="str">
        <f aca="false">IF($M238="","",$M238*Config!$B$6)</f>
        <v/>
      </c>
      <c r="P238" s="28"/>
      <c r="Q238" s="28"/>
      <c r="R238" s="30" t="str">
        <f aca="false">IF($J238="","",$J238-$K238+SUM($L238)-SUM($N238:$Q238))</f>
        <v/>
      </c>
      <c r="S238" s="30" t="str">
        <f aca="false">IF(OR($R238="",$H238="",$H238=0),"",$R238/$H238)</f>
        <v/>
      </c>
      <c r="T238" s="29" t="str">
        <f aca="false">IF(OR($R238="",$M238="",$M238=0),"",$R238/$M238)</f>
        <v/>
      </c>
      <c r="U238" s="26" t="str">
        <f aca="false">IF(OR($H238="",$H238=0,$I238=""),"",$I238/$H238)</f>
        <v/>
      </c>
      <c r="V238" s="24"/>
    </row>
    <row r="239" customFormat="false" ht="15" hidden="false" customHeight="false" outlineLevel="0" collapsed="false">
      <c r="A239" s="21"/>
      <c r="B239" s="22" t="str">
        <f aca="false">IF($A239="","",INDEX(Config!$F$2:$F$8,WEEKDAY($A239,2)))</f>
        <v/>
      </c>
      <c r="C239" s="23" t="str">
        <f aca="false">IF($A239="","",EOMONTH($A239,0))</f>
        <v/>
      </c>
      <c r="D239" s="24"/>
      <c r="E239" s="24"/>
      <c r="F239" s="25"/>
      <c r="G239" s="25"/>
      <c r="H239" s="26" t="str">
        <f aca="false">IF(OR($F239="",$G239=""),"",($G239-$F239+IF($G239&lt;$F239,1,0))*24)</f>
        <v/>
      </c>
      <c r="I239" s="27"/>
      <c r="J239" s="28"/>
      <c r="K239" s="29" t="str">
        <f aca="false">IF($J239="","",$J239*Config!$B$5)</f>
        <v/>
      </c>
      <c r="L239" s="28"/>
      <c r="M239" s="27"/>
      <c r="N239" s="28"/>
      <c r="O239" s="29" t="str">
        <f aca="false">IF($M239="","",$M239*Config!$B$6)</f>
        <v/>
      </c>
      <c r="P239" s="28"/>
      <c r="Q239" s="28"/>
      <c r="R239" s="30" t="str">
        <f aca="false">IF($J239="","",$J239-$K239+SUM($L239)-SUM($N239:$Q239))</f>
        <v/>
      </c>
      <c r="S239" s="30" t="str">
        <f aca="false">IF(OR($R239="",$H239="",$H239=0),"",$R239/$H239)</f>
        <v/>
      </c>
      <c r="T239" s="29" t="str">
        <f aca="false">IF(OR($R239="",$M239="",$M239=0),"",$R239/$M239)</f>
        <v/>
      </c>
      <c r="U239" s="26" t="str">
        <f aca="false">IF(OR($H239="",$H239=0,$I239=""),"",$I239/$H239)</f>
        <v/>
      </c>
      <c r="V239" s="24"/>
    </row>
    <row r="240" customFormat="false" ht="15" hidden="false" customHeight="false" outlineLevel="0" collapsed="false">
      <c r="A240" s="21"/>
      <c r="B240" s="22" t="str">
        <f aca="false">IF($A240="","",INDEX(Config!$F$2:$F$8,WEEKDAY($A240,2)))</f>
        <v/>
      </c>
      <c r="C240" s="23" t="str">
        <f aca="false">IF($A240="","",EOMONTH($A240,0))</f>
        <v/>
      </c>
      <c r="D240" s="24"/>
      <c r="E240" s="24"/>
      <c r="F240" s="25"/>
      <c r="G240" s="25"/>
      <c r="H240" s="26" t="str">
        <f aca="false">IF(OR($F240="",$G240=""),"",($G240-$F240+IF($G240&lt;$F240,1,0))*24)</f>
        <v/>
      </c>
      <c r="I240" s="27"/>
      <c r="J240" s="28"/>
      <c r="K240" s="29" t="str">
        <f aca="false">IF($J240="","",$J240*Config!$B$5)</f>
        <v/>
      </c>
      <c r="L240" s="28"/>
      <c r="M240" s="27"/>
      <c r="N240" s="28"/>
      <c r="O240" s="29" t="str">
        <f aca="false">IF($M240="","",$M240*Config!$B$6)</f>
        <v/>
      </c>
      <c r="P240" s="28"/>
      <c r="Q240" s="28"/>
      <c r="R240" s="30" t="str">
        <f aca="false">IF($J240="","",$J240-$K240+SUM($L240)-SUM($N240:$Q240))</f>
        <v/>
      </c>
      <c r="S240" s="30" t="str">
        <f aca="false">IF(OR($R240="",$H240="",$H240=0),"",$R240/$H240)</f>
        <v/>
      </c>
      <c r="T240" s="29" t="str">
        <f aca="false">IF(OR($R240="",$M240="",$M240=0),"",$R240/$M240)</f>
        <v/>
      </c>
      <c r="U240" s="26" t="str">
        <f aca="false">IF(OR($H240="",$H240=0,$I240=""),"",$I240/$H240)</f>
        <v/>
      </c>
      <c r="V240" s="24"/>
    </row>
    <row r="241" customFormat="false" ht="15" hidden="false" customHeight="false" outlineLevel="0" collapsed="false">
      <c r="A241" s="21"/>
      <c r="B241" s="22" t="str">
        <f aca="false">IF($A241="","",INDEX(Config!$F$2:$F$8,WEEKDAY($A241,2)))</f>
        <v/>
      </c>
      <c r="C241" s="23" t="str">
        <f aca="false">IF($A241="","",EOMONTH($A241,0))</f>
        <v/>
      </c>
      <c r="D241" s="24"/>
      <c r="E241" s="24"/>
      <c r="F241" s="25"/>
      <c r="G241" s="25"/>
      <c r="H241" s="26" t="str">
        <f aca="false">IF(OR($F241="",$G241=""),"",($G241-$F241+IF($G241&lt;$F241,1,0))*24)</f>
        <v/>
      </c>
      <c r="I241" s="27"/>
      <c r="J241" s="28"/>
      <c r="K241" s="29" t="str">
        <f aca="false">IF($J241="","",$J241*Config!$B$5)</f>
        <v/>
      </c>
      <c r="L241" s="28"/>
      <c r="M241" s="27"/>
      <c r="N241" s="28"/>
      <c r="O241" s="29" t="str">
        <f aca="false">IF($M241="","",$M241*Config!$B$6)</f>
        <v/>
      </c>
      <c r="P241" s="28"/>
      <c r="Q241" s="28"/>
      <c r="R241" s="30" t="str">
        <f aca="false">IF($J241="","",$J241-$K241+SUM($L241)-SUM($N241:$Q241))</f>
        <v/>
      </c>
      <c r="S241" s="30" t="str">
        <f aca="false">IF(OR($R241="",$H241="",$H241=0),"",$R241/$H241)</f>
        <v/>
      </c>
      <c r="T241" s="29" t="str">
        <f aca="false">IF(OR($R241="",$M241="",$M241=0),"",$R241/$M241)</f>
        <v/>
      </c>
      <c r="U241" s="26" t="str">
        <f aca="false">IF(OR($H241="",$H241=0,$I241=""),"",$I241/$H241)</f>
        <v/>
      </c>
      <c r="V241" s="24"/>
    </row>
    <row r="242" customFormat="false" ht="15" hidden="false" customHeight="false" outlineLevel="0" collapsed="false">
      <c r="A242" s="21"/>
      <c r="B242" s="22" t="str">
        <f aca="false">IF($A242="","",INDEX(Config!$F$2:$F$8,WEEKDAY($A242,2)))</f>
        <v/>
      </c>
      <c r="C242" s="23" t="str">
        <f aca="false">IF($A242="","",EOMONTH($A242,0))</f>
        <v/>
      </c>
      <c r="D242" s="24"/>
      <c r="E242" s="24"/>
      <c r="F242" s="25"/>
      <c r="G242" s="25"/>
      <c r="H242" s="26" t="str">
        <f aca="false">IF(OR($F242="",$G242=""),"",($G242-$F242+IF($G242&lt;$F242,1,0))*24)</f>
        <v/>
      </c>
      <c r="I242" s="27"/>
      <c r="J242" s="28"/>
      <c r="K242" s="29" t="str">
        <f aca="false">IF($J242="","",$J242*Config!$B$5)</f>
        <v/>
      </c>
      <c r="L242" s="28"/>
      <c r="M242" s="27"/>
      <c r="N242" s="28"/>
      <c r="O242" s="29" t="str">
        <f aca="false">IF($M242="","",$M242*Config!$B$6)</f>
        <v/>
      </c>
      <c r="P242" s="28"/>
      <c r="Q242" s="28"/>
      <c r="R242" s="30" t="str">
        <f aca="false">IF($J242="","",$J242-$K242+SUM($L242)-SUM($N242:$Q242))</f>
        <v/>
      </c>
      <c r="S242" s="30" t="str">
        <f aca="false">IF(OR($R242="",$H242="",$H242=0),"",$R242/$H242)</f>
        <v/>
      </c>
      <c r="T242" s="29" t="str">
        <f aca="false">IF(OR($R242="",$M242="",$M242=0),"",$R242/$M242)</f>
        <v/>
      </c>
      <c r="U242" s="26" t="str">
        <f aca="false">IF(OR($H242="",$H242=0,$I242=""),"",$I242/$H242)</f>
        <v/>
      </c>
      <c r="V242" s="24"/>
    </row>
    <row r="243" customFormat="false" ht="15" hidden="false" customHeight="false" outlineLevel="0" collapsed="false">
      <c r="A243" s="21"/>
      <c r="B243" s="22" t="str">
        <f aca="false">IF($A243="","",INDEX(Config!$F$2:$F$8,WEEKDAY($A243,2)))</f>
        <v/>
      </c>
      <c r="C243" s="23" t="str">
        <f aca="false">IF($A243="","",EOMONTH($A243,0))</f>
        <v/>
      </c>
      <c r="D243" s="24"/>
      <c r="E243" s="24"/>
      <c r="F243" s="25"/>
      <c r="G243" s="25"/>
      <c r="H243" s="26" t="str">
        <f aca="false">IF(OR($F243="",$G243=""),"",($G243-$F243+IF($G243&lt;$F243,1,0))*24)</f>
        <v/>
      </c>
      <c r="I243" s="27"/>
      <c r="J243" s="28"/>
      <c r="K243" s="29" t="str">
        <f aca="false">IF($J243="","",$J243*Config!$B$5)</f>
        <v/>
      </c>
      <c r="L243" s="28"/>
      <c r="M243" s="27"/>
      <c r="N243" s="28"/>
      <c r="O243" s="29" t="str">
        <f aca="false">IF($M243="","",$M243*Config!$B$6)</f>
        <v/>
      </c>
      <c r="P243" s="28"/>
      <c r="Q243" s="28"/>
      <c r="R243" s="30" t="str">
        <f aca="false">IF($J243="","",$J243-$K243+SUM($L243)-SUM($N243:$Q243))</f>
        <v/>
      </c>
      <c r="S243" s="30" t="str">
        <f aca="false">IF(OR($R243="",$H243="",$H243=0),"",$R243/$H243)</f>
        <v/>
      </c>
      <c r="T243" s="29" t="str">
        <f aca="false">IF(OR($R243="",$M243="",$M243=0),"",$R243/$M243)</f>
        <v/>
      </c>
      <c r="U243" s="26" t="str">
        <f aca="false">IF(OR($H243="",$H243=0,$I243=""),"",$I243/$H243)</f>
        <v/>
      </c>
      <c r="V243" s="24"/>
    </row>
    <row r="244" customFormat="false" ht="15" hidden="false" customHeight="false" outlineLevel="0" collapsed="false">
      <c r="A244" s="21"/>
      <c r="B244" s="22" t="str">
        <f aca="false">IF($A244="","",INDEX(Config!$F$2:$F$8,WEEKDAY($A244,2)))</f>
        <v/>
      </c>
      <c r="C244" s="23" t="str">
        <f aca="false">IF($A244="","",EOMONTH($A244,0))</f>
        <v/>
      </c>
      <c r="D244" s="24"/>
      <c r="E244" s="24"/>
      <c r="F244" s="25"/>
      <c r="G244" s="25"/>
      <c r="H244" s="26" t="str">
        <f aca="false">IF(OR($F244="",$G244=""),"",($G244-$F244+IF($G244&lt;$F244,1,0))*24)</f>
        <v/>
      </c>
      <c r="I244" s="27"/>
      <c r="J244" s="28"/>
      <c r="K244" s="29" t="str">
        <f aca="false">IF($J244="","",$J244*Config!$B$5)</f>
        <v/>
      </c>
      <c r="L244" s="28"/>
      <c r="M244" s="27"/>
      <c r="N244" s="28"/>
      <c r="O244" s="29" t="str">
        <f aca="false">IF($M244="","",$M244*Config!$B$6)</f>
        <v/>
      </c>
      <c r="P244" s="28"/>
      <c r="Q244" s="28"/>
      <c r="R244" s="30" t="str">
        <f aca="false">IF($J244="","",$J244-$K244+SUM($L244)-SUM($N244:$Q244))</f>
        <v/>
      </c>
      <c r="S244" s="30" t="str">
        <f aca="false">IF(OR($R244="",$H244="",$H244=0),"",$R244/$H244)</f>
        <v/>
      </c>
      <c r="T244" s="29" t="str">
        <f aca="false">IF(OR($R244="",$M244="",$M244=0),"",$R244/$M244)</f>
        <v/>
      </c>
      <c r="U244" s="26" t="str">
        <f aca="false">IF(OR($H244="",$H244=0,$I244=""),"",$I244/$H244)</f>
        <v/>
      </c>
      <c r="V244" s="24"/>
    </row>
    <row r="245" customFormat="false" ht="15" hidden="false" customHeight="false" outlineLevel="0" collapsed="false">
      <c r="A245" s="21"/>
      <c r="B245" s="22" t="str">
        <f aca="false">IF($A245="","",INDEX(Config!$F$2:$F$8,WEEKDAY($A245,2)))</f>
        <v/>
      </c>
      <c r="C245" s="23" t="str">
        <f aca="false">IF($A245="","",EOMONTH($A245,0))</f>
        <v/>
      </c>
      <c r="D245" s="24"/>
      <c r="E245" s="24"/>
      <c r="F245" s="25"/>
      <c r="G245" s="25"/>
      <c r="H245" s="26" t="str">
        <f aca="false">IF(OR($F245="",$G245=""),"",($G245-$F245+IF($G245&lt;$F245,1,0))*24)</f>
        <v/>
      </c>
      <c r="I245" s="27"/>
      <c r="J245" s="28"/>
      <c r="K245" s="29" t="str">
        <f aca="false">IF($J245="","",$J245*Config!$B$5)</f>
        <v/>
      </c>
      <c r="L245" s="28"/>
      <c r="M245" s="27"/>
      <c r="N245" s="28"/>
      <c r="O245" s="29" t="str">
        <f aca="false">IF($M245="","",$M245*Config!$B$6)</f>
        <v/>
      </c>
      <c r="P245" s="28"/>
      <c r="Q245" s="28"/>
      <c r="R245" s="30" t="str">
        <f aca="false">IF($J245="","",$J245-$K245+SUM($L245)-SUM($N245:$Q245))</f>
        <v/>
      </c>
      <c r="S245" s="30" t="str">
        <f aca="false">IF(OR($R245="",$H245="",$H245=0),"",$R245/$H245)</f>
        <v/>
      </c>
      <c r="T245" s="29" t="str">
        <f aca="false">IF(OR($R245="",$M245="",$M245=0),"",$R245/$M245)</f>
        <v/>
      </c>
      <c r="U245" s="26" t="str">
        <f aca="false">IF(OR($H245="",$H245=0,$I245=""),"",$I245/$H245)</f>
        <v/>
      </c>
      <c r="V245" s="24"/>
    </row>
    <row r="246" customFormat="false" ht="15" hidden="false" customHeight="false" outlineLevel="0" collapsed="false">
      <c r="A246" s="21"/>
      <c r="B246" s="22" t="str">
        <f aca="false">IF($A246="","",INDEX(Config!$F$2:$F$8,WEEKDAY($A246,2)))</f>
        <v/>
      </c>
      <c r="C246" s="23" t="str">
        <f aca="false">IF($A246="","",EOMONTH($A246,0))</f>
        <v/>
      </c>
      <c r="D246" s="24"/>
      <c r="E246" s="24"/>
      <c r="F246" s="25"/>
      <c r="G246" s="25"/>
      <c r="H246" s="26" t="str">
        <f aca="false">IF(OR($F246="",$G246=""),"",($G246-$F246+IF($G246&lt;$F246,1,0))*24)</f>
        <v/>
      </c>
      <c r="I246" s="27"/>
      <c r="J246" s="28"/>
      <c r="K246" s="29" t="str">
        <f aca="false">IF($J246="","",$J246*Config!$B$5)</f>
        <v/>
      </c>
      <c r="L246" s="28"/>
      <c r="M246" s="27"/>
      <c r="N246" s="28"/>
      <c r="O246" s="29" t="str">
        <f aca="false">IF($M246="","",$M246*Config!$B$6)</f>
        <v/>
      </c>
      <c r="P246" s="28"/>
      <c r="Q246" s="28"/>
      <c r="R246" s="30" t="str">
        <f aca="false">IF($J246="","",$J246-$K246+SUM($L246)-SUM($N246:$Q246))</f>
        <v/>
      </c>
      <c r="S246" s="30" t="str">
        <f aca="false">IF(OR($R246="",$H246="",$H246=0),"",$R246/$H246)</f>
        <v/>
      </c>
      <c r="T246" s="29" t="str">
        <f aca="false">IF(OR($R246="",$M246="",$M246=0),"",$R246/$M246)</f>
        <v/>
      </c>
      <c r="U246" s="26" t="str">
        <f aca="false">IF(OR($H246="",$H246=0,$I246=""),"",$I246/$H246)</f>
        <v/>
      </c>
      <c r="V246" s="24"/>
    </row>
    <row r="247" customFormat="false" ht="15" hidden="false" customHeight="false" outlineLevel="0" collapsed="false">
      <c r="A247" s="21"/>
      <c r="B247" s="22" t="str">
        <f aca="false">IF($A247="","",INDEX(Config!$F$2:$F$8,WEEKDAY($A247,2)))</f>
        <v/>
      </c>
      <c r="C247" s="23" t="str">
        <f aca="false">IF($A247="","",EOMONTH($A247,0))</f>
        <v/>
      </c>
      <c r="D247" s="24"/>
      <c r="E247" s="24"/>
      <c r="F247" s="25"/>
      <c r="G247" s="25"/>
      <c r="H247" s="26" t="str">
        <f aca="false">IF(OR($F247="",$G247=""),"",($G247-$F247+IF($G247&lt;$F247,1,0))*24)</f>
        <v/>
      </c>
      <c r="I247" s="27"/>
      <c r="J247" s="28"/>
      <c r="K247" s="29" t="str">
        <f aca="false">IF($J247="","",$J247*Config!$B$5)</f>
        <v/>
      </c>
      <c r="L247" s="28"/>
      <c r="M247" s="27"/>
      <c r="N247" s="28"/>
      <c r="O247" s="29" t="str">
        <f aca="false">IF($M247="","",$M247*Config!$B$6)</f>
        <v/>
      </c>
      <c r="P247" s="28"/>
      <c r="Q247" s="28"/>
      <c r="R247" s="30" t="str">
        <f aca="false">IF($J247="","",$J247-$K247+SUM($L247)-SUM($N247:$Q247))</f>
        <v/>
      </c>
      <c r="S247" s="30" t="str">
        <f aca="false">IF(OR($R247="",$H247="",$H247=0),"",$R247/$H247)</f>
        <v/>
      </c>
      <c r="T247" s="29" t="str">
        <f aca="false">IF(OR($R247="",$M247="",$M247=0),"",$R247/$M247)</f>
        <v/>
      </c>
      <c r="U247" s="26" t="str">
        <f aca="false">IF(OR($H247="",$H247=0,$I247=""),"",$I247/$H247)</f>
        <v/>
      </c>
      <c r="V247" s="24"/>
    </row>
    <row r="248" customFormat="false" ht="15" hidden="false" customHeight="false" outlineLevel="0" collapsed="false">
      <c r="A248" s="21"/>
      <c r="B248" s="22" t="str">
        <f aca="false">IF($A248="","",INDEX(Config!$F$2:$F$8,WEEKDAY($A248,2)))</f>
        <v/>
      </c>
      <c r="C248" s="23" t="str">
        <f aca="false">IF($A248="","",EOMONTH($A248,0))</f>
        <v/>
      </c>
      <c r="D248" s="24"/>
      <c r="E248" s="24"/>
      <c r="F248" s="25"/>
      <c r="G248" s="25"/>
      <c r="H248" s="26" t="str">
        <f aca="false">IF(OR($F248="",$G248=""),"",($G248-$F248+IF($G248&lt;$F248,1,0))*24)</f>
        <v/>
      </c>
      <c r="I248" s="27"/>
      <c r="J248" s="28"/>
      <c r="K248" s="29" t="str">
        <f aca="false">IF($J248="","",$J248*Config!$B$5)</f>
        <v/>
      </c>
      <c r="L248" s="28"/>
      <c r="M248" s="27"/>
      <c r="N248" s="28"/>
      <c r="O248" s="29" t="str">
        <f aca="false">IF($M248="","",$M248*Config!$B$6)</f>
        <v/>
      </c>
      <c r="P248" s="28"/>
      <c r="Q248" s="28"/>
      <c r="R248" s="30" t="str">
        <f aca="false">IF($J248="","",$J248-$K248+SUM($L248)-SUM($N248:$Q248))</f>
        <v/>
      </c>
      <c r="S248" s="30" t="str">
        <f aca="false">IF(OR($R248="",$H248="",$H248=0),"",$R248/$H248)</f>
        <v/>
      </c>
      <c r="T248" s="29" t="str">
        <f aca="false">IF(OR($R248="",$M248="",$M248=0),"",$R248/$M248)</f>
        <v/>
      </c>
      <c r="U248" s="26" t="str">
        <f aca="false">IF(OR($H248="",$H248=0,$I248=""),"",$I248/$H248)</f>
        <v/>
      </c>
      <c r="V248" s="24"/>
    </row>
    <row r="249" customFormat="false" ht="15" hidden="false" customHeight="false" outlineLevel="0" collapsed="false">
      <c r="A249" s="21"/>
      <c r="B249" s="22" t="str">
        <f aca="false">IF($A249="","",INDEX(Config!$F$2:$F$8,WEEKDAY($A249,2)))</f>
        <v/>
      </c>
      <c r="C249" s="23" t="str">
        <f aca="false">IF($A249="","",EOMONTH($A249,0))</f>
        <v/>
      </c>
      <c r="D249" s="24"/>
      <c r="E249" s="24"/>
      <c r="F249" s="25"/>
      <c r="G249" s="25"/>
      <c r="H249" s="26" t="str">
        <f aca="false">IF(OR($F249="",$G249=""),"",($G249-$F249+IF($G249&lt;$F249,1,0))*24)</f>
        <v/>
      </c>
      <c r="I249" s="27"/>
      <c r="J249" s="28"/>
      <c r="K249" s="29" t="str">
        <f aca="false">IF($J249="","",$J249*Config!$B$5)</f>
        <v/>
      </c>
      <c r="L249" s="28"/>
      <c r="M249" s="27"/>
      <c r="N249" s="28"/>
      <c r="O249" s="29" t="str">
        <f aca="false">IF($M249="","",$M249*Config!$B$6)</f>
        <v/>
      </c>
      <c r="P249" s="28"/>
      <c r="Q249" s="28"/>
      <c r="R249" s="30" t="str">
        <f aca="false">IF($J249="","",$J249-$K249+SUM($L249)-SUM($N249:$Q249))</f>
        <v/>
      </c>
      <c r="S249" s="30" t="str">
        <f aca="false">IF(OR($R249="",$H249="",$H249=0),"",$R249/$H249)</f>
        <v/>
      </c>
      <c r="T249" s="29" t="str">
        <f aca="false">IF(OR($R249="",$M249="",$M249=0),"",$R249/$M249)</f>
        <v/>
      </c>
      <c r="U249" s="26" t="str">
        <f aca="false">IF(OR($H249="",$H249=0,$I249=""),"",$I249/$H249)</f>
        <v/>
      </c>
      <c r="V249" s="24"/>
    </row>
    <row r="250" customFormat="false" ht="15" hidden="false" customHeight="false" outlineLevel="0" collapsed="false">
      <c r="A250" s="21"/>
      <c r="B250" s="22" t="str">
        <f aca="false">IF($A250="","",INDEX(Config!$F$2:$F$8,WEEKDAY($A250,2)))</f>
        <v/>
      </c>
      <c r="C250" s="23" t="str">
        <f aca="false">IF($A250="","",EOMONTH($A250,0))</f>
        <v/>
      </c>
      <c r="D250" s="24"/>
      <c r="E250" s="24"/>
      <c r="F250" s="25"/>
      <c r="G250" s="25"/>
      <c r="H250" s="26" t="str">
        <f aca="false">IF(OR($F250="",$G250=""),"",($G250-$F250+IF($G250&lt;$F250,1,0))*24)</f>
        <v/>
      </c>
      <c r="I250" s="27"/>
      <c r="J250" s="28"/>
      <c r="K250" s="29" t="str">
        <f aca="false">IF($J250="","",$J250*Config!$B$5)</f>
        <v/>
      </c>
      <c r="L250" s="28"/>
      <c r="M250" s="27"/>
      <c r="N250" s="28"/>
      <c r="O250" s="29" t="str">
        <f aca="false">IF($M250="","",$M250*Config!$B$6)</f>
        <v/>
      </c>
      <c r="P250" s="28"/>
      <c r="Q250" s="28"/>
      <c r="R250" s="30" t="str">
        <f aca="false">IF($J250="","",$J250-$K250+SUM($L250)-SUM($N250:$Q250))</f>
        <v/>
      </c>
      <c r="S250" s="30" t="str">
        <f aca="false">IF(OR($R250="",$H250="",$H250=0),"",$R250/$H250)</f>
        <v/>
      </c>
      <c r="T250" s="29" t="str">
        <f aca="false">IF(OR($R250="",$M250="",$M250=0),"",$R250/$M250)</f>
        <v/>
      </c>
      <c r="U250" s="26" t="str">
        <f aca="false">IF(OR($H250="",$H250=0,$I250=""),"",$I250/$H250)</f>
        <v/>
      </c>
      <c r="V250" s="24"/>
    </row>
    <row r="251" customFormat="false" ht="15" hidden="false" customHeight="false" outlineLevel="0" collapsed="false">
      <c r="A251" s="21"/>
      <c r="B251" s="22" t="str">
        <f aca="false">IF($A251="","",INDEX(Config!$F$2:$F$8,WEEKDAY($A251,2)))</f>
        <v/>
      </c>
      <c r="C251" s="23" t="str">
        <f aca="false">IF($A251="","",EOMONTH($A251,0))</f>
        <v/>
      </c>
      <c r="D251" s="24"/>
      <c r="E251" s="24"/>
      <c r="F251" s="25"/>
      <c r="G251" s="25"/>
      <c r="H251" s="26" t="str">
        <f aca="false">IF(OR($F251="",$G251=""),"",($G251-$F251+IF($G251&lt;$F251,1,0))*24)</f>
        <v/>
      </c>
      <c r="I251" s="27"/>
      <c r="J251" s="28"/>
      <c r="K251" s="29" t="str">
        <f aca="false">IF($J251="","",$J251*Config!$B$5)</f>
        <v/>
      </c>
      <c r="L251" s="28"/>
      <c r="M251" s="27"/>
      <c r="N251" s="28"/>
      <c r="O251" s="29" t="str">
        <f aca="false">IF($M251="","",$M251*Config!$B$6)</f>
        <v/>
      </c>
      <c r="P251" s="28"/>
      <c r="Q251" s="28"/>
      <c r="R251" s="30" t="str">
        <f aca="false">IF($J251="","",$J251-$K251+SUM($L251)-SUM($N251:$Q251))</f>
        <v/>
      </c>
      <c r="S251" s="30" t="str">
        <f aca="false">IF(OR($R251="",$H251="",$H251=0),"",$R251/$H251)</f>
        <v/>
      </c>
      <c r="T251" s="29" t="str">
        <f aca="false">IF(OR($R251="",$M251="",$M251=0),"",$R251/$M251)</f>
        <v/>
      </c>
      <c r="U251" s="26" t="str">
        <f aca="false">IF(OR($H251="",$H251=0,$I251=""),"",$I251/$H251)</f>
        <v/>
      </c>
      <c r="V251" s="24"/>
    </row>
    <row r="252" customFormat="false" ht="15" hidden="false" customHeight="false" outlineLevel="0" collapsed="false">
      <c r="A252" s="21"/>
      <c r="B252" s="22" t="str">
        <f aca="false">IF($A252="","",INDEX(Config!$F$2:$F$8,WEEKDAY($A252,2)))</f>
        <v/>
      </c>
      <c r="C252" s="23" t="str">
        <f aca="false">IF($A252="","",EOMONTH($A252,0))</f>
        <v/>
      </c>
      <c r="D252" s="24"/>
      <c r="E252" s="24"/>
      <c r="F252" s="25"/>
      <c r="G252" s="25"/>
      <c r="H252" s="26" t="str">
        <f aca="false">IF(OR($F252="",$G252=""),"",($G252-$F252+IF($G252&lt;$F252,1,0))*24)</f>
        <v/>
      </c>
      <c r="I252" s="27"/>
      <c r="J252" s="28"/>
      <c r="K252" s="29" t="str">
        <f aca="false">IF($J252="","",$J252*Config!$B$5)</f>
        <v/>
      </c>
      <c r="L252" s="28"/>
      <c r="M252" s="27"/>
      <c r="N252" s="28"/>
      <c r="O252" s="29" t="str">
        <f aca="false">IF($M252="","",$M252*Config!$B$6)</f>
        <v/>
      </c>
      <c r="P252" s="28"/>
      <c r="Q252" s="28"/>
      <c r="R252" s="30" t="str">
        <f aca="false">IF($J252="","",$J252-$K252+SUM($L252)-SUM($N252:$Q252))</f>
        <v/>
      </c>
      <c r="S252" s="30" t="str">
        <f aca="false">IF(OR($R252="",$H252="",$H252=0),"",$R252/$H252)</f>
        <v/>
      </c>
      <c r="T252" s="29" t="str">
        <f aca="false">IF(OR($R252="",$M252="",$M252=0),"",$R252/$M252)</f>
        <v/>
      </c>
      <c r="U252" s="26" t="str">
        <f aca="false">IF(OR($H252="",$H252=0,$I252=""),"",$I252/$H252)</f>
        <v/>
      </c>
      <c r="V252" s="24"/>
    </row>
    <row r="253" customFormat="false" ht="15" hidden="false" customHeight="false" outlineLevel="0" collapsed="false">
      <c r="A253" s="21"/>
      <c r="B253" s="22" t="str">
        <f aca="false">IF($A253="","",INDEX(Config!$F$2:$F$8,WEEKDAY($A253,2)))</f>
        <v/>
      </c>
      <c r="C253" s="23" t="str">
        <f aca="false">IF($A253="","",EOMONTH($A253,0))</f>
        <v/>
      </c>
      <c r="D253" s="24"/>
      <c r="E253" s="24"/>
      <c r="F253" s="25"/>
      <c r="G253" s="25"/>
      <c r="H253" s="26" t="str">
        <f aca="false">IF(OR($F253="",$G253=""),"",($G253-$F253+IF($G253&lt;$F253,1,0))*24)</f>
        <v/>
      </c>
      <c r="I253" s="27"/>
      <c r="J253" s="28"/>
      <c r="K253" s="29" t="str">
        <f aca="false">IF($J253="","",$J253*Config!$B$5)</f>
        <v/>
      </c>
      <c r="L253" s="28"/>
      <c r="M253" s="27"/>
      <c r="N253" s="28"/>
      <c r="O253" s="29" t="str">
        <f aca="false">IF($M253="","",$M253*Config!$B$6)</f>
        <v/>
      </c>
      <c r="P253" s="28"/>
      <c r="Q253" s="28"/>
      <c r="R253" s="30" t="str">
        <f aca="false">IF($J253="","",$J253-$K253+SUM($L253)-SUM($N253:$Q253))</f>
        <v/>
      </c>
      <c r="S253" s="30" t="str">
        <f aca="false">IF(OR($R253="",$H253="",$H253=0),"",$R253/$H253)</f>
        <v/>
      </c>
      <c r="T253" s="29" t="str">
        <f aca="false">IF(OR($R253="",$M253="",$M253=0),"",$R253/$M253)</f>
        <v/>
      </c>
      <c r="U253" s="26" t="str">
        <f aca="false">IF(OR($H253="",$H253=0,$I253=""),"",$I253/$H253)</f>
        <v/>
      </c>
      <c r="V253" s="24"/>
    </row>
    <row r="254" customFormat="false" ht="15" hidden="false" customHeight="false" outlineLevel="0" collapsed="false">
      <c r="A254" s="21"/>
      <c r="B254" s="22" t="str">
        <f aca="false">IF($A254="","",INDEX(Config!$F$2:$F$8,WEEKDAY($A254,2)))</f>
        <v/>
      </c>
      <c r="C254" s="23" t="str">
        <f aca="false">IF($A254="","",EOMONTH($A254,0))</f>
        <v/>
      </c>
      <c r="D254" s="24"/>
      <c r="E254" s="24"/>
      <c r="F254" s="25"/>
      <c r="G254" s="25"/>
      <c r="H254" s="26" t="str">
        <f aca="false">IF(OR($F254="",$G254=""),"",($G254-$F254+IF($G254&lt;$F254,1,0))*24)</f>
        <v/>
      </c>
      <c r="I254" s="27"/>
      <c r="J254" s="28"/>
      <c r="K254" s="29" t="str">
        <f aca="false">IF($J254="","",$J254*Config!$B$5)</f>
        <v/>
      </c>
      <c r="L254" s="28"/>
      <c r="M254" s="27"/>
      <c r="N254" s="28"/>
      <c r="O254" s="29" t="str">
        <f aca="false">IF($M254="","",$M254*Config!$B$6)</f>
        <v/>
      </c>
      <c r="P254" s="28"/>
      <c r="Q254" s="28"/>
      <c r="R254" s="30" t="str">
        <f aca="false">IF($J254="","",$J254-$K254+SUM($L254)-SUM($N254:$Q254))</f>
        <v/>
      </c>
      <c r="S254" s="30" t="str">
        <f aca="false">IF(OR($R254="",$H254="",$H254=0),"",$R254/$H254)</f>
        <v/>
      </c>
      <c r="T254" s="29" t="str">
        <f aca="false">IF(OR($R254="",$M254="",$M254=0),"",$R254/$M254)</f>
        <v/>
      </c>
      <c r="U254" s="26" t="str">
        <f aca="false">IF(OR($H254="",$H254=0,$I254=""),"",$I254/$H254)</f>
        <v/>
      </c>
      <c r="V254" s="24"/>
    </row>
    <row r="255" customFormat="false" ht="15" hidden="false" customHeight="false" outlineLevel="0" collapsed="false">
      <c r="A255" s="21"/>
      <c r="B255" s="22" t="str">
        <f aca="false">IF($A255="","",INDEX(Config!$F$2:$F$8,WEEKDAY($A255,2)))</f>
        <v/>
      </c>
      <c r="C255" s="23" t="str">
        <f aca="false">IF($A255="","",EOMONTH($A255,0))</f>
        <v/>
      </c>
      <c r="D255" s="24"/>
      <c r="E255" s="24"/>
      <c r="F255" s="25"/>
      <c r="G255" s="25"/>
      <c r="H255" s="26" t="str">
        <f aca="false">IF(OR($F255="",$G255=""),"",($G255-$F255+IF($G255&lt;$F255,1,0))*24)</f>
        <v/>
      </c>
      <c r="I255" s="27"/>
      <c r="J255" s="28"/>
      <c r="K255" s="29" t="str">
        <f aca="false">IF($J255="","",$J255*Config!$B$5)</f>
        <v/>
      </c>
      <c r="L255" s="28"/>
      <c r="M255" s="27"/>
      <c r="N255" s="28"/>
      <c r="O255" s="29" t="str">
        <f aca="false">IF($M255="","",$M255*Config!$B$6)</f>
        <v/>
      </c>
      <c r="P255" s="28"/>
      <c r="Q255" s="28"/>
      <c r="R255" s="30" t="str">
        <f aca="false">IF($J255="","",$J255-$K255+SUM($L255)-SUM($N255:$Q255))</f>
        <v/>
      </c>
      <c r="S255" s="30" t="str">
        <f aca="false">IF(OR($R255="",$H255="",$H255=0),"",$R255/$H255)</f>
        <v/>
      </c>
      <c r="T255" s="29" t="str">
        <f aca="false">IF(OR($R255="",$M255="",$M255=0),"",$R255/$M255)</f>
        <v/>
      </c>
      <c r="U255" s="26" t="str">
        <f aca="false">IF(OR($H255="",$H255=0,$I255=""),"",$I255/$H255)</f>
        <v/>
      </c>
      <c r="V255" s="24"/>
    </row>
    <row r="256" customFormat="false" ht="15" hidden="false" customHeight="false" outlineLevel="0" collapsed="false">
      <c r="A256" s="21"/>
      <c r="B256" s="22" t="str">
        <f aca="false">IF($A256="","",INDEX(Config!$F$2:$F$8,WEEKDAY($A256,2)))</f>
        <v/>
      </c>
      <c r="C256" s="23" t="str">
        <f aca="false">IF($A256="","",EOMONTH($A256,0))</f>
        <v/>
      </c>
      <c r="D256" s="24"/>
      <c r="E256" s="24"/>
      <c r="F256" s="25"/>
      <c r="G256" s="25"/>
      <c r="H256" s="26" t="str">
        <f aca="false">IF(OR($F256="",$G256=""),"",($G256-$F256+IF($G256&lt;$F256,1,0))*24)</f>
        <v/>
      </c>
      <c r="I256" s="27"/>
      <c r="J256" s="28"/>
      <c r="K256" s="29" t="str">
        <f aca="false">IF($J256="","",$J256*Config!$B$5)</f>
        <v/>
      </c>
      <c r="L256" s="28"/>
      <c r="M256" s="27"/>
      <c r="N256" s="28"/>
      <c r="O256" s="29" t="str">
        <f aca="false">IF($M256="","",$M256*Config!$B$6)</f>
        <v/>
      </c>
      <c r="P256" s="28"/>
      <c r="Q256" s="28"/>
      <c r="R256" s="30" t="str">
        <f aca="false">IF($J256="","",$J256-$K256+SUM($L256)-SUM($N256:$Q256))</f>
        <v/>
      </c>
      <c r="S256" s="30" t="str">
        <f aca="false">IF(OR($R256="",$H256="",$H256=0),"",$R256/$H256)</f>
        <v/>
      </c>
      <c r="T256" s="29" t="str">
        <f aca="false">IF(OR($R256="",$M256="",$M256=0),"",$R256/$M256)</f>
        <v/>
      </c>
      <c r="U256" s="26" t="str">
        <f aca="false">IF(OR($H256="",$H256=0,$I256=""),"",$I256/$H256)</f>
        <v/>
      </c>
      <c r="V256" s="24"/>
    </row>
    <row r="257" customFormat="false" ht="15" hidden="false" customHeight="false" outlineLevel="0" collapsed="false">
      <c r="A257" s="21"/>
      <c r="B257" s="22" t="str">
        <f aca="false">IF($A257="","",INDEX(Config!$F$2:$F$8,WEEKDAY($A257,2)))</f>
        <v/>
      </c>
      <c r="C257" s="23" t="str">
        <f aca="false">IF($A257="","",EOMONTH($A257,0))</f>
        <v/>
      </c>
      <c r="D257" s="24"/>
      <c r="E257" s="24"/>
      <c r="F257" s="25"/>
      <c r="G257" s="25"/>
      <c r="H257" s="26" t="str">
        <f aca="false">IF(OR($F257="",$G257=""),"",($G257-$F257+IF($G257&lt;$F257,1,0))*24)</f>
        <v/>
      </c>
      <c r="I257" s="27"/>
      <c r="J257" s="28"/>
      <c r="K257" s="29" t="str">
        <f aca="false">IF($J257="","",$J257*Config!$B$5)</f>
        <v/>
      </c>
      <c r="L257" s="28"/>
      <c r="M257" s="27"/>
      <c r="N257" s="28"/>
      <c r="O257" s="29" t="str">
        <f aca="false">IF($M257="","",$M257*Config!$B$6)</f>
        <v/>
      </c>
      <c r="P257" s="28"/>
      <c r="Q257" s="28"/>
      <c r="R257" s="30" t="str">
        <f aca="false">IF($J257="","",$J257-$K257+SUM($L257)-SUM($N257:$Q257))</f>
        <v/>
      </c>
      <c r="S257" s="30" t="str">
        <f aca="false">IF(OR($R257="",$H257="",$H257=0),"",$R257/$H257)</f>
        <v/>
      </c>
      <c r="T257" s="29" t="str">
        <f aca="false">IF(OR($R257="",$M257="",$M257=0),"",$R257/$M257)</f>
        <v/>
      </c>
      <c r="U257" s="26" t="str">
        <f aca="false">IF(OR($H257="",$H257=0,$I257=""),"",$I257/$H257)</f>
        <v/>
      </c>
      <c r="V257" s="24"/>
    </row>
    <row r="258" customFormat="false" ht="15" hidden="false" customHeight="false" outlineLevel="0" collapsed="false">
      <c r="A258" s="21"/>
      <c r="B258" s="22" t="str">
        <f aca="false">IF($A258="","",INDEX(Config!$F$2:$F$8,WEEKDAY($A258,2)))</f>
        <v/>
      </c>
      <c r="C258" s="23" t="str">
        <f aca="false">IF($A258="","",EOMONTH($A258,0))</f>
        <v/>
      </c>
      <c r="D258" s="24"/>
      <c r="E258" s="24"/>
      <c r="F258" s="25"/>
      <c r="G258" s="25"/>
      <c r="H258" s="26" t="str">
        <f aca="false">IF(OR($F258="",$G258=""),"",($G258-$F258+IF($G258&lt;$F258,1,0))*24)</f>
        <v/>
      </c>
      <c r="I258" s="27"/>
      <c r="J258" s="28"/>
      <c r="K258" s="29" t="str">
        <f aca="false">IF($J258="","",$J258*Config!$B$5)</f>
        <v/>
      </c>
      <c r="L258" s="28"/>
      <c r="M258" s="27"/>
      <c r="N258" s="28"/>
      <c r="O258" s="29" t="str">
        <f aca="false">IF($M258="","",$M258*Config!$B$6)</f>
        <v/>
      </c>
      <c r="P258" s="28"/>
      <c r="Q258" s="28"/>
      <c r="R258" s="30" t="str">
        <f aca="false">IF($J258="","",$J258-$K258+SUM($L258)-SUM($N258:$Q258))</f>
        <v/>
      </c>
      <c r="S258" s="30" t="str">
        <f aca="false">IF(OR($R258="",$H258="",$H258=0),"",$R258/$H258)</f>
        <v/>
      </c>
      <c r="T258" s="29" t="str">
        <f aca="false">IF(OR($R258="",$M258="",$M258=0),"",$R258/$M258)</f>
        <v/>
      </c>
      <c r="U258" s="26" t="str">
        <f aca="false">IF(OR($H258="",$H258=0,$I258=""),"",$I258/$H258)</f>
        <v/>
      </c>
      <c r="V258" s="24"/>
    </row>
    <row r="259" customFormat="false" ht="15" hidden="false" customHeight="false" outlineLevel="0" collapsed="false">
      <c r="A259" s="21"/>
      <c r="B259" s="22" t="str">
        <f aca="false">IF($A259="","",INDEX(Config!$F$2:$F$8,WEEKDAY($A259,2)))</f>
        <v/>
      </c>
      <c r="C259" s="23" t="str">
        <f aca="false">IF($A259="","",EOMONTH($A259,0))</f>
        <v/>
      </c>
      <c r="D259" s="24"/>
      <c r="E259" s="24"/>
      <c r="F259" s="25"/>
      <c r="G259" s="25"/>
      <c r="H259" s="26" t="str">
        <f aca="false">IF(OR($F259="",$G259=""),"",($G259-$F259+IF($G259&lt;$F259,1,0))*24)</f>
        <v/>
      </c>
      <c r="I259" s="27"/>
      <c r="J259" s="28"/>
      <c r="K259" s="29" t="str">
        <f aca="false">IF($J259="","",$J259*Config!$B$5)</f>
        <v/>
      </c>
      <c r="L259" s="28"/>
      <c r="M259" s="27"/>
      <c r="N259" s="28"/>
      <c r="O259" s="29" t="str">
        <f aca="false">IF($M259="","",$M259*Config!$B$6)</f>
        <v/>
      </c>
      <c r="P259" s="28"/>
      <c r="Q259" s="28"/>
      <c r="R259" s="30" t="str">
        <f aca="false">IF($J259="","",$J259-$K259+SUM($L259)-SUM($N259:$Q259))</f>
        <v/>
      </c>
      <c r="S259" s="30" t="str">
        <f aca="false">IF(OR($R259="",$H259="",$H259=0),"",$R259/$H259)</f>
        <v/>
      </c>
      <c r="T259" s="29" t="str">
        <f aca="false">IF(OR($R259="",$M259="",$M259=0),"",$R259/$M259)</f>
        <v/>
      </c>
      <c r="U259" s="26" t="str">
        <f aca="false">IF(OR($H259="",$H259=0,$I259=""),"",$I259/$H259)</f>
        <v/>
      </c>
      <c r="V259" s="24"/>
    </row>
    <row r="260" customFormat="false" ht="15" hidden="false" customHeight="false" outlineLevel="0" collapsed="false">
      <c r="A260" s="21"/>
      <c r="B260" s="22" t="str">
        <f aca="false">IF($A260="","",INDEX(Config!$F$2:$F$8,WEEKDAY($A260,2)))</f>
        <v/>
      </c>
      <c r="C260" s="23" t="str">
        <f aca="false">IF($A260="","",EOMONTH($A260,0))</f>
        <v/>
      </c>
      <c r="D260" s="24"/>
      <c r="E260" s="24"/>
      <c r="F260" s="25"/>
      <c r="G260" s="25"/>
      <c r="H260" s="26" t="str">
        <f aca="false">IF(OR($F260="",$G260=""),"",($G260-$F260+IF($G260&lt;$F260,1,0))*24)</f>
        <v/>
      </c>
      <c r="I260" s="27"/>
      <c r="J260" s="28"/>
      <c r="K260" s="29" t="str">
        <f aca="false">IF($J260="","",$J260*Config!$B$5)</f>
        <v/>
      </c>
      <c r="L260" s="28"/>
      <c r="M260" s="27"/>
      <c r="N260" s="28"/>
      <c r="O260" s="29" t="str">
        <f aca="false">IF($M260="","",$M260*Config!$B$6)</f>
        <v/>
      </c>
      <c r="P260" s="28"/>
      <c r="Q260" s="28"/>
      <c r="R260" s="30" t="str">
        <f aca="false">IF($J260="","",$J260-$K260+SUM($L260)-SUM($N260:$Q260))</f>
        <v/>
      </c>
      <c r="S260" s="30" t="str">
        <f aca="false">IF(OR($R260="",$H260="",$H260=0),"",$R260/$H260)</f>
        <v/>
      </c>
      <c r="T260" s="29" t="str">
        <f aca="false">IF(OR($R260="",$M260="",$M260=0),"",$R260/$M260)</f>
        <v/>
      </c>
      <c r="U260" s="26" t="str">
        <f aca="false">IF(OR($H260="",$H260=0,$I260=""),"",$I260/$H260)</f>
        <v/>
      </c>
      <c r="V260" s="24"/>
    </row>
    <row r="261" customFormat="false" ht="15" hidden="false" customHeight="false" outlineLevel="0" collapsed="false">
      <c r="A261" s="21"/>
      <c r="B261" s="22" t="str">
        <f aca="false">IF($A261="","",INDEX(Config!$F$2:$F$8,WEEKDAY($A261,2)))</f>
        <v/>
      </c>
      <c r="C261" s="23" t="str">
        <f aca="false">IF($A261="","",EOMONTH($A261,0))</f>
        <v/>
      </c>
      <c r="D261" s="24"/>
      <c r="E261" s="24"/>
      <c r="F261" s="25"/>
      <c r="G261" s="25"/>
      <c r="H261" s="26" t="str">
        <f aca="false">IF(OR($F261="",$G261=""),"",($G261-$F261+IF($G261&lt;$F261,1,0))*24)</f>
        <v/>
      </c>
      <c r="I261" s="27"/>
      <c r="J261" s="28"/>
      <c r="K261" s="29" t="str">
        <f aca="false">IF($J261="","",$J261*Config!$B$5)</f>
        <v/>
      </c>
      <c r="L261" s="28"/>
      <c r="M261" s="27"/>
      <c r="N261" s="28"/>
      <c r="O261" s="29" t="str">
        <f aca="false">IF($M261="","",$M261*Config!$B$6)</f>
        <v/>
      </c>
      <c r="P261" s="28"/>
      <c r="Q261" s="28"/>
      <c r="R261" s="30" t="str">
        <f aca="false">IF($J261="","",$J261-$K261+SUM($L261)-SUM($N261:$Q261))</f>
        <v/>
      </c>
      <c r="S261" s="30" t="str">
        <f aca="false">IF(OR($R261="",$H261="",$H261=0),"",$R261/$H261)</f>
        <v/>
      </c>
      <c r="T261" s="29" t="str">
        <f aca="false">IF(OR($R261="",$M261="",$M261=0),"",$R261/$M261)</f>
        <v/>
      </c>
      <c r="U261" s="26" t="str">
        <f aca="false">IF(OR($H261="",$H261=0,$I261=""),"",$I261/$H261)</f>
        <v/>
      </c>
      <c r="V261" s="24"/>
    </row>
    <row r="262" customFormat="false" ht="15" hidden="false" customHeight="false" outlineLevel="0" collapsed="false">
      <c r="A262" s="21"/>
      <c r="B262" s="22" t="str">
        <f aca="false">IF($A262="","",INDEX(Config!$F$2:$F$8,WEEKDAY($A262,2)))</f>
        <v/>
      </c>
      <c r="C262" s="23" t="str">
        <f aca="false">IF($A262="","",EOMONTH($A262,0))</f>
        <v/>
      </c>
      <c r="D262" s="24"/>
      <c r="E262" s="24"/>
      <c r="F262" s="25"/>
      <c r="G262" s="25"/>
      <c r="H262" s="26" t="str">
        <f aca="false">IF(OR($F262="",$G262=""),"",($G262-$F262+IF($G262&lt;$F262,1,0))*24)</f>
        <v/>
      </c>
      <c r="I262" s="27"/>
      <c r="J262" s="28"/>
      <c r="K262" s="29" t="str">
        <f aca="false">IF($J262="","",$J262*Config!$B$5)</f>
        <v/>
      </c>
      <c r="L262" s="28"/>
      <c r="M262" s="27"/>
      <c r="N262" s="28"/>
      <c r="O262" s="29" t="str">
        <f aca="false">IF($M262="","",$M262*Config!$B$6)</f>
        <v/>
      </c>
      <c r="P262" s="28"/>
      <c r="Q262" s="28"/>
      <c r="R262" s="30" t="str">
        <f aca="false">IF($J262="","",$J262-$K262+SUM($L262)-SUM($N262:$Q262))</f>
        <v/>
      </c>
      <c r="S262" s="30" t="str">
        <f aca="false">IF(OR($R262="",$H262="",$H262=0),"",$R262/$H262)</f>
        <v/>
      </c>
      <c r="T262" s="29" t="str">
        <f aca="false">IF(OR($R262="",$M262="",$M262=0),"",$R262/$M262)</f>
        <v/>
      </c>
      <c r="U262" s="26" t="str">
        <f aca="false">IF(OR($H262="",$H262=0,$I262=""),"",$I262/$H262)</f>
        <v/>
      </c>
      <c r="V262" s="24"/>
    </row>
    <row r="263" customFormat="false" ht="15" hidden="false" customHeight="false" outlineLevel="0" collapsed="false">
      <c r="A263" s="21"/>
      <c r="B263" s="22" t="str">
        <f aca="false">IF($A263="","",INDEX(Config!$F$2:$F$8,WEEKDAY($A263,2)))</f>
        <v/>
      </c>
      <c r="C263" s="23" t="str">
        <f aca="false">IF($A263="","",EOMONTH($A263,0))</f>
        <v/>
      </c>
      <c r="D263" s="24"/>
      <c r="E263" s="24"/>
      <c r="F263" s="25"/>
      <c r="G263" s="25"/>
      <c r="H263" s="26" t="str">
        <f aca="false">IF(OR($F263="",$G263=""),"",($G263-$F263+IF($G263&lt;$F263,1,0))*24)</f>
        <v/>
      </c>
      <c r="I263" s="27"/>
      <c r="J263" s="28"/>
      <c r="K263" s="29" t="str">
        <f aca="false">IF($J263="","",$J263*Config!$B$5)</f>
        <v/>
      </c>
      <c r="L263" s="28"/>
      <c r="M263" s="27"/>
      <c r="N263" s="28"/>
      <c r="O263" s="29" t="str">
        <f aca="false">IF($M263="","",$M263*Config!$B$6)</f>
        <v/>
      </c>
      <c r="P263" s="28"/>
      <c r="Q263" s="28"/>
      <c r="R263" s="30" t="str">
        <f aca="false">IF($J263="","",$J263-$K263+SUM($L263)-SUM($N263:$Q263))</f>
        <v/>
      </c>
      <c r="S263" s="30" t="str">
        <f aca="false">IF(OR($R263="",$H263="",$H263=0),"",$R263/$H263)</f>
        <v/>
      </c>
      <c r="T263" s="29" t="str">
        <f aca="false">IF(OR($R263="",$M263="",$M263=0),"",$R263/$M263)</f>
        <v/>
      </c>
      <c r="U263" s="26" t="str">
        <f aca="false">IF(OR($H263="",$H263=0,$I263=""),"",$I263/$H263)</f>
        <v/>
      </c>
      <c r="V263" s="24"/>
    </row>
    <row r="264" customFormat="false" ht="15" hidden="false" customHeight="false" outlineLevel="0" collapsed="false">
      <c r="A264" s="21"/>
      <c r="B264" s="22" t="str">
        <f aca="false">IF($A264="","",INDEX(Config!$F$2:$F$8,WEEKDAY($A264,2)))</f>
        <v/>
      </c>
      <c r="C264" s="23" t="str">
        <f aca="false">IF($A264="","",EOMONTH($A264,0))</f>
        <v/>
      </c>
      <c r="D264" s="24"/>
      <c r="E264" s="24"/>
      <c r="F264" s="25"/>
      <c r="G264" s="25"/>
      <c r="H264" s="26" t="str">
        <f aca="false">IF(OR($F264="",$G264=""),"",($G264-$F264+IF($G264&lt;$F264,1,0))*24)</f>
        <v/>
      </c>
      <c r="I264" s="27"/>
      <c r="J264" s="28"/>
      <c r="K264" s="29" t="str">
        <f aca="false">IF($J264="","",$J264*Config!$B$5)</f>
        <v/>
      </c>
      <c r="L264" s="28"/>
      <c r="M264" s="27"/>
      <c r="N264" s="28"/>
      <c r="O264" s="29" t="str">
        <f aca="false">IF($M264="","",$M264*Config!$B$6)</f>
        <v/>
      </c>
      <c r="P264" s="28"/>
      <c r="Q264" s="28"/>
      <c r="R264" s="30" t="str">
        <f aca="false">IF($J264="","",$J264-$K264+SUM($L264)-SUM($N264:$Q264))</f>
        <v/>
      </c>
      <c r="S264" s="30" t="str">
        <f aca="false">IF(OR($R264="",$H264="",$H264=0),"",$R264/$H264)</f>
        <v/>
      </c>
      <c r="T264" s="29" t="str">
        <f aca="false">IF(OR($R264="",$M264="",$M264=0),"",$R264/$M264)</f>
        <v/>
      </c>
      <c r="U264" s="26" t="str">
        <f aca="false">IF(OR($H264="",$H264=0,$I264=""),"",$I264/$H264)</f>
        <v/>
      </c>
      <c r="V264" s="24"/>
    </row>
    <row r="265" customFormat="false" ht="15" hidden="false" customHeight="false" outlineLevel="0" collapsed="false">
      <c r="A265" s="21"/>
      <c r="B265" s="22" t="str">
        <f aca="false">IF($A265="","",INDEX(Config!$F$2:$F$8,WEEKDAY($A265,2)))</f>
        <v/>
      </c>
      <c r="C265" s="23" t="str">
        <f aca="false">IF($A265="","",EOMONTH($A265,0))</f>
        <v/>
      </c>
      <c r="D265" s="24"/>
      <c r="E265" s="24"/>
      <c r="F265" s="25"/>
      <c r="G265" s="25"/>
      <c r="H265" s="26" t="str">
        <f aca="false">IF(OR($F265="",$G265=""),"",($G265-$F265+IF($G265&lt;$F265,1,0))*24)</f>
        <v/>
      </c>
      <c r="I265" s="27"/>
      <c r="J265" s="28"/>
      <c r="K265" s="29" t="str">
        <f aca="false">IF($J265="","",$J265*Config!$B$5)</f>
        <v/>
      </c>
      <c r="L265" s="28"/>
      <c r="M265" s="27"/>
      <c r="N265" s="28"/>
      <c r="O265" s="29" t="str">
        <f aca="false">IF($M265="","",$M265*Config!$B$6)</f>
        <v/>
      </c>
      <c r="P265" s="28"/>
      <c r="Q265" s="28"/>
      <c r="R265" s="30" t="str">
        <f aca="false">IF($J265="","",$J265-$K265+SUM($L265)-SUM($N265:$Q265))</f>
        <v/>
      </c>
      <c r="S265" s="30" t="str">
        <f aca="false">IF(OR($R265="",$H265="",$H265=0),"",$R265/$H265)</f>
        <v/>
      </c>
      <c r="T265" s="29" t="str">
        <f aca="false">IF(OR($R265="",$M265="",$M265=0),"",$R265/$M265)</f>
        <v/>
      </c>
      <c r="U265" s="26" t="str">
        <f aca="false">IF(OR($H265="",$H265=0,$I265=""),"",$I265/$H265)</f>
        <v/>
      </c>
      <c r="V265" s="24"/>
    </row>
    <row r="266" customFormat="false" ht="15" hidden="false" customHeight="false" outlineLevel="0" collapsed="false">
      <c r="A266" s="21"/>
      <c r="B266" s="22" t="str">
        <f aca="false">IF($A266="","",INDEX(Config!$F$2:$F$8,WEEKDAY($A266,2)))</f>
        <v/>
      </c>
      <c r="C266" s="23" t="str">
        <f aca="false">IF($A266="","",EOMONTH($A266,0))</f>
        <v/>
      </c>
      <c r="D266" s="24"/>
      <c r="E266" s="24"/>
      <c r="F266" s="25"/>
      <c r="G266" s="25"/>
      <c r="H266" s="26" t="str">
        <f aca="false">IF(OR($F266="",$G266=""),"",($G266-$F266+IF($G266&lt;$F266,1,0))*24)</f>
        <v/>
      </c>
      <c r="I266" s="27"/>
      <c r="J266" s="28"/>
      <c r="K266" s="29" t="str">
        <f aca="false">IF($J266="","",$J266*Config!$B$5)</f>
        <v/>
      </c>
      <c r="L266" s="28"/>
      <c r="M266" s="27"/>
      <c r="N266" s="28"/>
      <c r="O266" s="29" t="str">
        <f aca="false">IF($M266="","",$M266*Config!$B$6)</f>
        <v/>
      </c>
      <c r="P266" s="28"/>
      <c r="Q266" s="28"/>
      <c r="R266" s="30" t="str">
        <f aca="false">IF($J266="","",$J266-$K266+SUM($L266)-SUM($N266:$Q266))</f>
        <v/>
      </c>
      <c r="S266" s="30" t="str">
        <f aca="false">IF(OR($R266="",$H266="",$H266=0),"",$R266/$H266)</f>
        <v/>
      </c>
      <c r="T266" s="29" t="str">
        <f aca="false">IF(OR($R266="",$M266="",$M266=0),"",$R266/$M266)</f>
        <v/>
      </c>
      <c r="U266" s="26" t="str">
        <f aca="false">IF(OR($H266="",$H266=0,$I266=""),"",$I266/$H266)</f>
        <v/>
      </c>
      <c r="V266" s="24"/>
    </row>
    <row r="267" customFormat="false" ht="15" hidden="false" customHeight="false" outlineLevel="0" collapsed="false">
      <c r="A267" s="21"/>
      <c r="B267" s="22" t="str">
        <f aca="false">IF($A267="","",INDEX(Config!$F$2:$F$8,WEEKDAY($A267,2)))</f>
        <v/>
      </c>
      <c r="C267" s="23" t="str">
        <f aca="false">IF($A267="","",EOMONTH($A267,0))</f>
        <v/>
      </c>
      <c r="D267" s="24"/>
      <c r="E267" s="24"/>
      <c r="F267" s="25"/>
      <c r="G267" s="25"/>
      <c r="H267" s="26" t="str">
        <f aca="false">IF(OR($F267="",$G267=""),"",($G267-$F267+IF($G267&lt;$F267,1,0))*24)</f>
        <v/>
      </c>
      <c r="I267" s="27"/>
      <c r="J267" s="28"/>
      <c r="K267" s="29" t="str">
        <f aca="false">IF($J267="","",$J267*Config!$B$5)</f>
        <v/>
      </c>
      <c r="L267" s="28"/>
      <c r="M267" s="27"/>
      <c r="N267" s="28"/>
      <c r="O267" s="29" t="str">
        <f aca="false">IF($M267="","",$M267*Config!$B$6)</f>
        <v/>
      </c>
      <c r="P267" s="28"/>
      <c r="Q267" s="28"/>
      <c r="R267" s="30" t="str">
        <f aca="false">IF($J267="","",$J267-$K267+SUM($L267)-SUM($N267:$Q267))</f>
        <v/>
      </c>
      <c r="S267" s="30" t="str">
        <f aca="false">IF(OR($R267="",$H267="",$H267=0),"",$R267/$H267)</f>
        <v/>
      </c>
      <c r="T267" s="29" t="str">
        <f aca="false">IF(OR($R267="",$M267="",$M267=0),"",$R267/$M267)</f>
        <v/>
      </c>
      <c r="U267" s="26" t="str">
        <f aca="false">IF(OR($H267="",$H267=0,$I267=""),"",$I267/$H267)</f>
        <v/>
      </c>
      <c r="V267" s="24"/>
    </row>
    <row r="268" customFormat="false" ht="15" hidden="false" customHeight="false" outlineLevel="0" collapsed="false">
      <c r="A268" s="21"/>
      <c r="B268" s="22" t="str">
        <f aca="false">IF($A268="","",INDEX(Config!$F$2:$F$8,WEEKDAY($A268,2)))</f>
        <v/>
      </c>
      <c r="C268" s="23" t="str">
        <f aca="false">IF($A268="","",EOMONTH($A268,0))</f>
        <v/>
      </c>
      <c r="D268" s="24"/>
      <c r="E268" s="24"/>
      <c r="F268" s="25"/>
      <c r="G268" s="25"/>
      <c r="H268" s="26" t="str">
        <f aca="false">IF(OR($F268="",$G268=""),"",($G268-$F268+IF($G268&lt;$F268,1,0))*24)</f>
        <v/>
      </c>
      <c r="I268" s="27"/>
      <c r="J268" s="28"/>
      <c r="K268" s="29" t="str">
        <f aca="false">IF($J268="","",$J268*Config!$B$5)</f>
        <v/>
      </c>
      <c r="L268" s="28"/>
      <c r="M268" s="27"/>
      <c r="N268" s="28"/>
      <c r="O268" s="29" t="str">
        <f aca="false">IF($M268="","",$M268*Config!$B$6)</f>
        <v/>
      </c>
      <c r="P268" s="28"/>
      <c r="Q268" s="28"/>
      <c r="R268" s="30" t="str">
        <f aca="false">IF($J268="","",$J268-$K268+SUM($L268)-SUM($N268:$Q268))</f>
        <v/>
      </c>
      <c r="S268" s="30" t="str">
        <f aca="false">IF(OR($R268="",$H268="",$H268=0),"",$R268/$H268)</f>
        <v/>
      </c>
      <c r="T268" s="29" t="str">
        <f aca="false">IF(OR($R268="",$M268="",$M268=0),"",$R268/$M268)</f>
        <v/>
      </c>
      <c r="U268" s="26" t="str">
        <f aca="false">IF(OR($H268="",$H268=0,$I268=""),"",$I268/$H268)</f>
        <v/>
      </c>
      <c r="V268" s="24"/>
    </row>
    <row r="269" customFormat="false" ht="15" hidden="false" customHeight="false" outlineLevel="0" collapsed="false">
      <c r="A269" s="21"/>
      <c r="B269" s="22" t="str">
        <f aca="false">IF($A269="","",INDEX(Config!$F$2:$F$8,WEEKDAY($A269,2)))</f>
        <v/>
      </c>
      <c r="C269" s="23" t="str">
        <f aca="false">IF($A269="","",EOMONTH($A269,0))</f>
        <v/>
      </c>
      <c r="D269" s="24"/>
      <c r="E269" s="24"/>
      <c r="F269" s="25"/>
      <c r="G269" s="25"/>
      <c r="H269" s="26" t="str">
        <f aca="false">IF(OR($F269="",$G269=""),"",($G269-$F269+IF($G269&lt;$F269,1,0))*24)</f>
        <v/>
      </c>
      <c r="I269" s="27"/>
      <c r="J269" s="28"/>
      <c r="K269" s="29" t="str">
        <f aca="false">IF($J269="","",$J269*Config!$B$5)</f>
        <v/>
      </c>
      <c r="L269" s="28"/>
      <c r="M269" s="27"/>
      <c r="N269" s="28"/>
      <c r="O269" s="29" t="str">
        <f aca="false">IF($M269="","",$M269*Config!$B$6)</f>
        <v/>
      </c>
      <c r="P269" s="28"/>
      <c r="Q269" s="28"/>
      <c r="R269" s="30" t="str">
        <f aca="false">IF($J269="","",$J269-$K269+SUM($L269)-SUM($N269:$Q269))</f>
        <v/>
      </c>
      <c r="S269" s="30" t="str">
        <f aca="false">IF(OR($R269="",$H269="",$H269=0),"",$R269/$H269)</f>
        <v/>
      </c>
      <c r="T269" s="29" t="str">
        <f aca="false">IF(OR($R269="",$M269="",$M269=0),"",$R269/$M269)</f>
        <v/>
      </c>
      <c r="U269" s="26" t="str">
        <f aca="false">IF(OR($H269="",$H269=0,$I269=""),"",$I269/$H269)</f>
        <v/>
      </c>
      <c r="V269" s="24"/>
    </row>
    <row r="270" customFormat="false" ht="15" hidden="false" customHeight="false" outlineLevel="0" collapsed="false">
      <c r="A270" s="21"/>
      <c r="B270" s="22" t="str">
        <f aca="false">IF($A270="","",INDEX(Config!$F$2:$F$8,WEEKDAY($A270,2)))</f>
        <v/>
      </c>
      <c r="C270" s="23" t="str">
        <f aca="false">IF($A270="","",EOMONTH($A270,0))</f>
        <v/>
      </c>
      <c r="D270" s="24"/>
      <c r="E270" s="24"/>
      <c r="F270" s="25"/>
      <c r="G270" s="25"/>
      <c r="H270" s="26" t="str">
        <f aca="false">IF(OR($F270="",$G270=""),"",($G270-$F270+IF($G270&lt;$F270,1,0))*24)</f>
        <v/>
      </c>
      <c r="I270" s="27"/>
      <c r="J270" s="28"/>
      <c r="K270" s="29" t="str">
        <f aca="false">IF($J270="","",$J270*Config!$B$5)</f>
        <v/>
      </c>
      <c r="L270" s="28"/>
      <c r="M270" s="27"/>
      <c r="N270" s="28"/>
      <c r="O270" s="29" t="str">
        <f aca="false">IF($M270="","",$M270*Config!$B$6)</f>
        <v/>
      </c>
      <c r="P270" s="28"/>
      <c r="Q270" s="28"/>
      <c r="R270" s="30" t="str">
        <f aca="false">IF($J270="","",$J270-$K270+SUM($L270)-SUM($N270:$Q270))</f>
        <v/>
      </c>
      <c r="S270" s="30" t="str">
        <f aca="false">IF(OR($R270="",$H270="",$H270=0),"",$R270/$H270)</f>
        <v/>
      </c>
      <c r="T270" s="29" t="str">
        <f aca="false">IF(OR($R270="",$M270="",$M270=0),"",$R270/$M270)</f>
        <v/>
      </c>
      <c r="U270" s="26" t="str">
        <f aca="false">IF(OR($H270="",$H270=0,$I270=""),"",$I270/$H270)</f>
        <v/>
      </c>
      <c r="V270" s="24"/>
    </row>
    <row r="271" customFormat="false" ht="15" hidden="false" customHeight="false" outlineLevel="0" collapsed="false">
      <c r="A271" s="21"/>
      <c r="B271" s="22" t="str">
        <f aca="false">IF($A271="","",INDEX(Config!$F$2:$F$8,WEEKDAY($A271,2)))</f>
        <v/>
      </c>
      <c r="C271" s="23" t="str">
        <f aca="false">IF($A271="","",EOMONTH($A271,0))</f>
        <v/>
      </c>
      <c r="D271" s="24"/>
      <c r="E271" s="24"/>
      <c r="F271" s="25"/>
      <c r="G271" s="25"/>
      <c r="H271" s="26" t="str">
        <f aca="false">IF(OR($F271="",$G271=""),"",($G271-$F271+IF($G271&lt;$F271,1,0))*24)</f>
        <v/>
      </c>
      <c r="I271" s="27"/>
      <c r="J271" s="28"/>
      <c r="K271" s="29" t="str">
        <f aca="false">IF($J271="","",$J271*Config!$B$5)</f>
        <v/>
      </c>
      <c r="L271" s="28"/>
      <c r="M271" s="27"/>
      <c r="N271" s="28"/>
      <c r="O271" s="29" t="str">
        <f aca="false">IF($M271="","",$M271*Config!$B$6)</f>
        <v/>
      </c>
      <c r="P271" s="28"/>
      <c r="Q271" s="28"/>
      <c r="R271" s="30" t="str">
        <f aca="false">IF($J271="","",$J271-$K271+SUM($L271)-SUM($N271:$Q271))</f>
        <v/>
      </c>
      <c r="S271" s="30" t="str">
        <f aca="false">IF(OR($R271="",$H271="",$H271=0),"",$R271/$H271)</f>
        <v/>
      </c>
      <c r="T271" s="29" t="str">
        <f aca="false">IF(OR($R271="",$M271="",$M271=0),"",$R271/$M271)</f>
        <v/>
      </c>
      <c r="U271" s="26" t="str">
        <f aca="false">IF(OR($H271="",$H271=0,$I271=""),"",$I271/$H271)</f>
        <v/>
      </c>
      <c r="V271" s="24"/>
    </row>
    <row r="272" customFormat="false" ht="15" hidden="false" customHeight="false" outlineLevel="0" collapsed="false">
      <c r="A272" s="21"/>
      <c r="B272" s="22" t="str">
        <f aca="false">IF($A272="","",INDEX(Config!$F$2:$F$8,WEEKDAY($A272,2)))</f>
        <v/>
      </c>
      <c r="C272" s="23" t="str">
        <f aca="false">IF($A272="","",EOMONTH($A272,0))</f>
        <v/>
      </c>
      <c r="D272" s="24"/>
      <c r="E272" s="24"/>
      <c r="F272" s="25"/>
      <c r="G272" s="25"/>
      <c r="H272" s="26" t="str">
        <f aca="false">IF(OR($F272="",$G272=""),"",($G272-$F272+IF($G272&lt;$F272,1,0))*24)</f>
        <v/>
      </c>
      <c r="I272" s="27"/>
      <c r="J272" s="28"/>
      <c r="K272" s="29" t="str">
        <f aca="false">IF($J272="","",$J272*Config!$B$5)</f>
        <v/>
      </c>
      <c r="L272" s="28"/>
      <c r="M272" s="27"/>
      <c r="N272" s="28"/>
      <c r="O272" s="29" t="str">
        <f aca="false">IF($M272="","",$M272*Config!$B$6)</f>
        <v/>
      </c>
      <c r="P272" s="28"/>
      <c r="Q272" s="28"/>
      <c r="R272" s="30" t="str">
        <f aca="false">IF($J272="","",$J272-$K272+SUM($L272)-SUM($N272:$Q272))</f>
        <v/>
      </c>
      <c r="S272" s="30" t="str">
        <f aca="false">IF(OR($R272="",$H272="",$H272=0),"",$R272/$H272)</f>
        <v/>
      </c>
      <c r="T272" s="29" t="str">
        <f aca="false">IF(OR($R272="",$M272="",$M272=0),"",$R272/$M272)</f>
        <v/>
      </c>
      <c r="U272" s="26" t="str">
        <f aca="false">IF(OR($H272="",$H272=0,$I272=""),"",$I272/$H272)</f>
        <v/>
      </c>
      <c r="V272" s="24"/>
    </row>
    <row r="273" customFormat="false" ht="15" hidden="false" customHeight="false" outlineLevel="0" collapsed="false">
      <c r="A273" s="21"/>
      <c r="B273" s="22" t="str">
        <f aca="false">IF($A273="","",INDEX(Config!$F$2:$F$8,WEEKDAY($A273,2)))</f>
        <v/>
      </c>
      <c r="C273" s="23" t="str">
        <f aca="false">IF($A273="","",EOMONTH($A273,0))</f>
        <v/>
      </c>
      <c r="D273" s="24"/>
      <c r="E273" s="24"/>
      <c r="F273" s="25"/>
      <c r="G273" s="25"/>
      <c r="H273" s="26" t="str">
        <f aca="false">IF(OR($F273="",$G273=""),"",($G273-$F273+IF($G273&lt;$F273,1,0))*24)</f>
        <v/>
      </c>
      <c r="I273" s="27"/>
      <c r="J273" s="28"/>
      <c r="K273" s="29" t="str">
        <f aca="false">IF($J273="","",$J273*Config!$B$5)</f>
        <v/>
      </c>
      <c r="L273" s="28"/>
      <c r="M273" s="27"/>
      <c r="N273" s="28"/>
      <c r="O273" s="29" t="str">
        <f aca="false">IF($M273="","",$M273*Config!$B$6)</f>
        <v/>
      </c>
      <c r="P273" s="28"/>
      <c r="Q273" s="28"/>
      <c r="R273" s="30" t="str">
        <f aca="false">IF($J273="","",$J273-$K273+SUM($L273)-SUM($N273:$Q273))</f>
        <v/>
      </c>
      <c r="S273" s="30" t="str">
        <f aca="false">IF(OR($R273="",$H273="",$H273=0),"",$R273/$H273)</f>
        <v/>
      </c>
      <c r="T273" s="29" t="str">
        <f aca="false">IF(OR($R273="",$M273="",$M273=0),"",$R273/$M273)</f>
        <v/>
      </c>
      <c r="U273" s="26" t="str">
        <f aca="false">IF(OR($H273="",$H273=0,$I273=""),"",$I273/$H273)</f>
        <v/>
      </c>
      <c r="V273" s="24"/>
    </row>
    <row r="274" customFormat="false" ht="15" hidden="false" customHeight="false" outlineLevel="0" collapsed="false">
      <c r="A274" s="21"/>
      <c r="B274" s="22" t="str">
        <f aca="false">IF($A274="","",INDEX(Config!$F$2:$F$8,WEEKDAY($A274,2)))</f>
        <v/>
      </c>
      <c r="C274" s="23" t="str">
        <f aca="false">IF($A274="","",EOMONTH($A274,0))</f>
        <v/>
      </c>
      <c r="D274" s="24"/>
      <c r="E274" s="24"/>
      <c r="F274" s="25"/>
      <c r="G274" s="25"/>
      <c r="H274" s="26" t="str">
        <f aca="false">IF(OR($F274="",$G274=""),"",($G274-$F274+IF($G274&lt;$F274,1,0))*24)</f>
        <v/>
      </c>
      <c r="I274" s="27"/>
      <c r="J274" s="28"/>
      <c r="K274" s="29" t="str">
        <f aca="false">IF($J274="","",$J274*Config!$B$5)</f>
        <v/>
      </c>
      <c r="L274" s="28"/>
      <c r="M274" s="27"/>
      <c r="N274" s="28"/>
      <c r="O274" s="29" t="str">
        <f aca="false">IF($M274="","",$M274*Config!$B$6)</f>
        <v/>
      </c>
      <c r="P274" s="28"/>
      <c r="Q274" s="28"/>
      <c r="R274" s="30" t="str">
        <f aca="false">IF($J274="","",$J274-$K274+SUM($L274)-SUM($N274:$Q274))</f>
        <v/>
      </c>
      <c r="S274" s="30" t="str">
        <f aca="false">IF(OR($R274="",$H274="",$H274=0),"",$R274/$H274)</f>
        <v/>
      </c>
      <c r="T274" s="29" t="str">
        <f aca="false">IF(OR($R274="",$M274="",$M274=0),"",$R274/$M274)</f>
        <v/>
      </c>
      <c r="U274" s="26" t="str">
        <f aca="false">IF(OR($H274="",$H274=0,$I274=""),"",$I274/$H274)</f>
        <v/>
      </c>
      <c r="V274" s="24"/>
    </row>
    <row r="275" customFormat="false" ht="15" hidden="false" customHeight="false" outlineLevel="0" collapsed="false">
      <c r="A275" s="21"/>
      <c r="B275" s="22" t="str">
        <f aca="false">IF($A275="","",INDEX(Config!$F$2:$F$8,WEEKDAY($A275,2)))</f>
        <v/>
      </c>
      <c r="C275" s="23" t="str">
        <f aca="false">IF($A275="","",EOMONTH($A275,0))</f>
        <v/>
      </c>
      <c r="D275" s="24"/>
      <c r="E275" s="24"/>
      <c r="F275" s="25"/>
      <c r="G275" s="25"/>
      <c r="H275" s="26" t="str">
        <f aca="false">IF(OR($F275="",$G275=""),"",($G275-$F275+IF($G275&lt;$F275,1,0))*24)</f>
        <v/>
      </c>
      <c r="I275" s="27"/>
      <c r="J275" s="28"/>
      <c r="K275" s="29" t="str">
        <f aca="false">IF($J275="","",$J275*Config!$B$5)</f>
        <v/>
      </c>
      <c r="L275" s="28"/>
      <c r="M275" s="27"/>
      <c r="N275" s="28"/>
      <c r="O275" s="29" t="str">
        <f aca="false">IF($M275="","",$M275*Config!$B$6)</f>
        <v/>
      </c>
      <c r="P275" s="28"/>
      <c r="Q275" s="28"/>
      <c r="R275" s="30" t="str">
        <f aca="false">IF($J275="","",$J275-$K275+SUM($L275)-SUM($N275:$Q275))</f>
        <v/>
      </c>
      <c r="S275" s="30" t="str">
        <f aca="false">IF(OR($R275="",$H275="",$H275=0),"",$R275/$H275)</f>
        <v/>
      </c>
      <c r="T275" s="29" t="str">
        <f aca="false">IF(OR($R275="",$M275="",$M275=0),"",$R275/$M275)</f>
        <v/>
      </c>
      <c r="U275" s="26" t="str">
        <f aca="false">IF(OR($H275="",$H275=0,$I275=""),"",$I275/$H275)</f>
        <v/>
      </c>
      <c r="V275" s="24"/>
    </row>
    <row r="276" customFormat="false" ht="15" hidden="false" customHeight="false" outlineLevel="0" collapsed="false">
      <c r="A276" s="21"/>
      <c r="B276" s="22" t="str">
        <f aca="false">IF($A276="","",INDEX(Config!$F$2:$F$8,WEEKDAY($A276,2)))</f>
        <v/>
      </c>
      <c r="C276" s="23" t="str">
        <f aca="false">IF($A276="","",EOMONTH($A276,0))</f>
        <v/>
      </c>
      <c r="D276" s="24"/>
      <c r="E276" s="24"/>
      <c r="F276" s="25"/>
      <c r="G276" s="25"/>
      <c r="H276" s="26" t="str">
        <f aca="false">IF(OR($F276="",$G276=""),"",($G276-$F276+IF($G276&lt;$F276,1,0))*24)</f>
        <v/>
      </c>
      <c r="I276" s="27"/>
      <c r="J276" s="28"/>
      <c r="K276" s="29" t="str">
        <f aca="false">IF($J276="","",$J276*Config!$B$5)</f>
        <v/>
      </c>
      <c r="L276" s="28"/>
      <c r="M276" s="27"/>
      <c r="N276" s="28"/>
      <c r="O276" s="29" t="str">
        <f aca="false">IF($M276="","",$M276*Config!$B$6)</f>
        <v/>
      </c>
      <c r="P276" s="28"/>
      <c r="Q276" s="28"/>
      <c r="R276" s="30" t="str">
        <f aca="false">IF($J276="","",$J276-$K276+SUM($L276)-SUM($N276:$Q276))</f>
        <v/>
      </c>
      <c r="S276" s="30" t="str">
        <f aca="false">IF(OR($R276="",$H276="",$H276=0),"",$R276/$H276)</f>
        <v/>
      </c>
      <c r="T276" s="29" t="str">
        <f aca="false">IF(OR($R276="",$M276="",$M276=0),"",$R276/$M276)</f>
        <v/>
      </c>
      <c r="U276" s="26" t="str">
        <f aca="false">IF(OR($H276="",$H276=0,$I276=""),"",$I276/$H276)</f>
        <v/>
      </c>
      <c r="V276" s="24"/>
    </row>
    <row r="277" customFormat="false" ht="15" hidden="false" customHeight="false" outlineLevel="0" collapsed="false">
      <c r="A277" s="21"/>
      <c r="B277" s="22" t="str">
        <f aca="false">IF($A277="","",INDEX(Config!$F$2:$F$8,WEEKDAY($A277,2)))</f>
        <v/>
      </c>
      <c r="C277" s="23" t="str">
        <f aca="false">IF($A277="","",EOMONTH($A277,0))</f>
        <v/>
      </c>
      <c r="D277" s="24"/>
      <c r="E277" s="24"/>
      <c r="F277" s="25"/>
      <c r="G277" s="25"/>
      <c r="H277" s="26" t="str">
        <f aca="false">IF(OR($F277="",$G277=""),"",($G277-$F277+IF($G277&lt;$F277,1,0))*24)</f>
        <v/>
      </c>
      <c r="I277" s="27"/>
      <c r="J277" s="28"/>
      <c r="K277" s="29" t="str">
        <f aca="false">IF($J277="","",$J277*Config!$B$5)</f>
        <v/>
      </c>
      <c r="L277" s="28"/>
      <c r="M277" s="27"/>
      <c r="N277" s="28"/>
      <c r="O277" s="29" t="str">
        <f aca="false">IF($M277="","",$M277*Config!$B$6)</f>
        <v/>
      </c>
      <c r="P277" s="28"/>
      <c r="Q277" s="28"/>
      <c r="R277" s="30" t="str">
        <f aca="false">IF($J277="","",$J277-$K277+SUM($L277)-SUM($N277:$Q277))</f>
        <v/>
      </c>
      <c r="S277" s="30" t="str">
        <f aca="false">IF(OR($R277="",$H277="",$H277=0),"",$R277/$H277)</f>
        <v/>
      </c>
      <c r="T277" s="29" t="str">
        <f aca="false">IF(OR($R277="",$M277="",$M277=0),"",$R277/$M277)</f>
        <v/>
      </c>
      <c r="U277" s="26" t="str">
        <f aca="false">IF(OR($H277="",$H277=0,$I277=""),"",$I277/$H277)</f>
        <v/>
      </c>
      <c r="V277" s="24"/>
    </row>
    <row r="278" customFormat="false" ht="15" hidden="false" customHeight="false" outlineLevel="0" collapsed="false">
      <c r="A278" s="21"/>
      <c r="B278" s="22" t="str">
        <f aca="false">IF($A278="","",INDEX(Config!$F$2:$F$8,WEEKDAY($A278,2)))</f>
        <v/>
      </c>
      <c r="C278" s="23" t="str">
        <f aca="false">IF($A278="","",EOMONTH($A278,0))</f>
        <v/>
      </c>
      <c r="D278" s="24"/>
      <c r="E278" s="24"/>
      <c r="F278" s="25"/>
      <c r="G278" s="25"/>
      <c r="H278" s="26" t="str">
        <f aca="false">IF(OR($F278="",$G278=""),"",($G278-$F278+IF($G278&lt;$F278,1,0))*24)</f>
        <v/>
      </c>
      <c r="I278" s="27"/>
      <c r="J278" s="28"/>
      <c r="K278" s="29" t="str">
        <f aca="false">IF($J278="","",$J278*Config!$B$5)</f>
        <v/>
      </c>
      <c r="L278" s="28"/>
      <c r="M278" s="27"/>
      <c r="N278" s="28"/>
      <c r="O278" s="29" t="str">
        <f aca="false">IF($M278="","",$M278*Config!$B$6)</f>
        <v/>
      </c>
      <c r="P278" s="28"/>
      <c r="Q278" s="28"/>
      <c r="R278" s="30" t="str">
        <f aca="false">IF($J278="","",$J278-$K278+SUM($L278)-SUM($N278:$Q278))</f>
        <v/>
      </c>
      <c r="S278" s="30" t="str">
        <f aca="false">IF(OR($R278="",$H278="",$H278=0),"",$R278/$H278)</f>
        <v/>
      </c>
      <c r="T278" s="29" t="str">
        <f aca="false">IF(OR($R278="",$M278="",$M278=0),"",$R278/$M278)</f>
        <v/>
      </c>
      <c r="U278" s="26" t="str">
        <f aca="false">IF(OR($H278="",$H278=0,$I278=""),"",$I278/$H278)</f>
        <v/>
      </c>
      <c r="V278" s="24"/>
    </row>
    <row r="279" customFormat="false" ht="15" hidden="false" customHeight="false" outlineLevel="0" collapsed="false">
      <c r="A279" s="21"/>
      <c r="B279" s="22" t="str">
        <f aca="false">IF($A279="","",INDEX(Config!$F$2:$F$8,WEEKDAY($A279,2)))</f>
        <v/>
      </c>
      <c r="C279" s="23" t="str">
        <f aca="false">IF($A279="","",EOMONTH($A279,0))</f>
        <v/>
      </c>
      <c r="D279" s="24"/>
      <c r="E279" s="24"/>
      <c r="F279" s="25"/>
      <c r="G279" s="25"/>
      <c r="H279" s="26" t="str">
        <f aca="false">IF(OR($F279="",$G279=""),"",($G279-$F279+IF($G279&lt;$F279,1,0))*24)</f>
        <v/>
      </c>
      <c r="I279" s="27"/>
      <c r="J279" s="28"/>
      <c r="K279" s="29" t="str">
        <f aca="false">IF($J279="","",$J279*Config!$B$5)</f>
        <v/>
      </c>
      <c r="L279" s="28"/>
      <c r="M279" s="27"/>
      <c r="N279" s="28"/>
      <c r="O279" s="29" t="str">
        <f aca="false">IF($M279="","",$M279*Config!$B$6)</f>
        <v/>
      </c>
      <c r="P279" s="28"/>
      <c r="Q279" s="28"/>
      <c r="R279" s="30" t="str">
        <f aca="false">IF($J279="","",$J279-$K279+SUM($L279)-SUM($N279:$Q279))</f>
        <v/>
      </c>
      <c r="S279" s="30" t="str">
        <f aca="false">IF(OR($R279="",$H279="",$H279=0),"",$R279/$H279)</f>
        <v/>
      </c>
      <c r="T279" s="29" t="str">
        <f aca="false">IF(OR($R279="",$M279="",$M279=0),"",$R279/$M279)</f>
        <v/>
      </c>
      <c r="U279" s="26" t="str">
        <f aca="false">IF(OR($H279="",$H279=0,$I279=""),"",$I279/$H279)</f>
        <v/>
      </c>
      <c r="V279" s="24"/>
    </row>
    <row r="280" customFormat="false" ht="15" hidden="false" customHeight="false" outlineLevel="0" collapsed="false">
      <c r="A280" s="21"/>
      <c r="B280" s="22" t="str">
        <f aca="false">IF($A280="","",INDEX(Config!$F$2:$F$8,WEEKDAY($A280,2)))</f>
        <v/>
      </c>
      <c r="C280" s="23" t="str">
        <f aca="false">IF($A280="","",EOMONTH($A280,0))</f>
        <v/>
      </c>
      <c r="D280" s="24"/>
      <c r="E280" s="24"/>
      <c r="F280" s="25"/>
      <c r="G280" s="25"/>
      <c r="H280" s="26" t="str">
        <f aca="false">IF(OR($F280="",$G280=""),"",($G280-$F280+IF($G280&lt;$F280,1,0))*24)</f>
        <v/>
      </c>
      <c r="I280" s="27"/>
      <c r="J280" s="28"/>
      <c r="K280" s="29" t="str">
        <f aca="false">IF($J280="","",$J280*Config!$B$5)</f>
        <v/>
      </c>
      <c r="L280" s="28"/>
      <c r="M280" s="27"/>
      <c r="N280" s="28"/>
      <c r="O280" s="29" t="str">
        <f aca="false">IF($M280="","",$M280*Config!$B$6)</f>
        <v/>
      </c>
      <c r="P280" s="28"/>
      <c r="Q280" s="28"/>
      <c r="R280" s="30" t="str">
        <f aca="false">IF($J280="","",$J280-$K280+SUM($L280)-SUM($N280:$Q280))</f>
        <v/>
      </c>
      <c r="S280" s="30" t="str">
        <f aca="false">IF(OR($R280="",$H280="",$H280=0),"",$R280/$H280)</f>
        <v/>
      </c>
      <c r="T280" s="29" t="str">
        <f aca="false">IF(OR($R280="",$M280="",$M280=0),"",$R280/$M280)</f>
        <v/>
      </c>
      <c r="U280" s="26" t="str">
        <f aca="false">IF(OR($H280="",$H280=0,$I280=""),"",$I280/$H280)</f>
        <v/>
      </c>
      <c r="V280" s="24"/>
    </row>
    <row r="281" customFormat="false" ht="15" hidden="false" customHeight="false" outlineLevel="0" collapsed="false">
      <c r="A281" s="21"/>
      <c r="B281" s="22" t="str">
        <f aca="false">IF($A281="","",INDEX(Config!$F$2:$F$8,WEEKDAY($A281,2)))</f>
        <v/>
      </c>
      <c r="C281" s="23" t="str">
        <f aca="false">IF($A281="","",EOMONTH($A281,0))</f>
        <v/>
      </c>
      <c r="D281" s="24"/>
      <c r="E281" s="24"/>
      <c r="F281" s="25"/>
      <c r="G281" s="25"/>
      <c r="H281" s="26" t="str">
        <f aca="false">IF(OR($F281="",$G281=""),"",($G281-$F281+IF($G281&lt;$F281,1,0))*24)</f>
        <v/>
      </c>
      <c r="I281" s="27"/>
      <c r="J281" s="28"/>
      <c r="K281" s="29" t="str">
        <f aca="false">IF($J281="","",$J281*Config!$B$5)</f>
        <v/>
      </c>
      <c r="L281" s="28"/>
      <c r="M281" s="27"/>
      <c r="N281" s="28"/>
      <c r="O281" s="29" t="str">
        <f aca="false">IF($M281="","",$M281*Config!$B$6)</f>
        <v/>
      </c>
      <c r="P281" s="28"/>
      <c r="Q281" s="28"/>
      <c r="R281" s="30" t="str">
        <f aca="false">IF($J281="","",$J281-$K281+SUM($L281)-SUM($N281:$Q281))</f>
        <v/>
      </c>
      <c r="S281" s="30" t="str">
        <f aca="false">IF(OR($R281="",$H281="",$H281=0),"",$R281/$H281)</f>
        <v/>
      </c>
      <c r="T281" s="29" t="str">
        <f aca="false">IF(OR($R281="",$M281="",$M281=0),"",$R281/$M281)</f>
        <v/>
      </c>
      <c r="U281" s="26" t="str">
        <f aca="false">IF(OR($H281="",$H281=0,$I281=""),"",$I281/$H281)</f>
        <v/>
      </c>
      <c r="V281" s="24"/>
    </row>
    <row r="282" customFormat="false" ht="15" hidden="false" customHeight="false" outlineLevel="0" collapsed="false">
      <c r="A282" s="21"/>
      <c r="B282" s="22" t="str">
        <f aca="false">IF($A282="","",INDEX(Config!$F$2:$F$8,WEEKDAY($A282,2)))</f>
        <v/>
      </c>
      <c r="C282" s="23" t="str">
        <f aca="false">IF($A282="","",EOMONTH($A282,0))</f>
        <v/>
      </c>
      <c r="D282" s="24"/>
      <c r="E282" s="24"/>
      <c r="F282" s="25"/>
      <c r="G282" s="25"/>
      <c r="H282" s="26" t="str">
        <f aca="false">IF(OR($F282="",$G282=""),"",($G282-$F282+IF($G282&lt;$F282,1,0))*24)</f>
        <v/>
      </c>
      <c r="I282" s="27"/>
      <c r="J282" s="28"/>
      <c r="K282" s="29" t="str">
        <f aca="false">IF($J282="","",$J282*Config!$B$5)</f>
        <v/>
      </c>
      <c r="L282" s="28"/>
      <c r="M282" s="27"/>
      <c r="N282" s="28"/>
      <c r="O282" s="29" t="str">
        <f aca="false">IF($M282="","",$M282*Config!$B$6)</f>
        <v/>
      </c>
      <c r="P282" s="28"/>
      <c r="Q282" s="28"/>
      <c r="R282" s="30" t="str">
        <f aca="false">IF($J282="","",$J282-$K282+SUM($L282)-SUM($N282:$Q282))</f>
        <v/>
      </c>
      <c r="S282" s="30" t="str">
        <f aca="false">IF(OR($R282="",$H282="",$H282=0),"",$R282/$H282)</f>
        <v/>
      </c>
      <c r="T282" s="29" t="str">
        <f aca="false">IF(OR($R282="",$M282="",$M282=0),"",$R282/$M282)</f>
        <v/>
      </c>
      <c r="U282" s="26" t="str">
        <f aca="false">IF(OR($H282="",$H282=0,$I282=""),"",$I282/$H282)</f>
        <v/>
      </c>
      <c r="V282" s="24"/>
    </row>
    <row r="283" customFormat="false" ht="15" hidden="false" customHeight="false" outlineLevel="0" collapsed="false">
      <c r="A283" s="21"/>
      <c r="B283" s="22" t="str">
        <f aca="false">IF($A283="","",INDEX(Config!$F$2:$F$8,WEEKDAY($A283,2)))</f>
        <v/>
      </c>
      <c r="C283" s="23" t="str">
        <f aca="false">IF($A283="","",EOMONTH($A283,0))</f>
        <v/>
      </c>
      <c r="D283" s="24"/>
      <c r="E283" s="24"/>
      <c r="F283" s="25"/>
      <c r="G283" s="25"/>
      <c r="H283" s="26" t="str">
        <f aca="false">IF(OR($F283="",$G283=""),"",($G283-$F283+IF($G283&lt;$F283,1,0))*24)</f>
        <v/>
      </c>
      <c r="I283" s="27"/>
      <c r="J283" s="28"/>
      <c r="K283" s="29" t="str">
        <f aca="false">IF($J283="","",$J283*Config!$B$5)</f>
        <v/>
      </c>
      <c r="L283" s="28"/>
      <c r="M283" s="27"/>
      <c r="N283" s="28"/>
      <c r="O283" s="29" t="str">
        <f aca="false">IF($M283="","",$M283*Config!$B$6)</f>
        <v/>
      </c>
      <c r="P283" s="28"/>
      <c r="Q283" s="28"/>
      <c r="R283" s="30" t="str">
        <f aca="false">IF($J283="","",$J283-$K283+SUM($L283)-SUM($N283:$Q283))</f>
        <v/>
      </c>
      <c r="S283" s="30" t="str">
        <f aca="false">IF(OR($R283="",$H283="",$H283=0),"",$R283/$H283)</f>
        <v/>
      </c>
      <c r="T283" s="29" t="str">
        <f aca="false">IF(OR($R283="",$M283="",$M283=0),"",$R283/$M283)</f>
        <v/>
      </c>
      <c r="U283" s="26" t="str">
        <f aca="false">IF(OR($H283="",$H283=0,$I283=""),"",$I283/$H283)</f>
        <v/>
      </c>
      <c r="V283" s="24"/>
    </row>
    <row r="284" customFormat="false" ht="15" hidden="false" customHeight="false" outlineLevel="0" collapsed="false">
      <c r="A284" s="21"/>
      <c r="B284" s="22" t="str">
        <f aca="false">IF($A284="","",INDEX(Config!$F$2:$F$8,WEEKDAY($A284,2)))</f>
        <v/>
      </c>
      <c r="C284" s="23" t="str">
        <f aca="false">IF($A284="","",EOMONTH($A284,0))</f>
        <v/>
      </c>
      <c r="D284" s="24"/>
      <c r="E284" s="24"/>
      <c r="F284" s="25"/>
      <c r="G284" s="25"/>
      <c r="H284" s="26" t="str">
        <f aca="false">IF(OR($F284="",$G284=""),"",($G284-$F284+IF($G284&lt;$F284,1,0))*24)</f>
        <v/>
      </c>
      <c r="I284" s="27"/>
      <c r="J284" s="28"/>
      <c r="K284" s="29" t="str">
        <f aca="false">IF($J284="","",$J284*Config!$B$5)</f>
        <v/>
      </c>
      <c r="L284" s="28"/>
      <c r="M284" s="27"/>
      <c r="N284" s="28"/>
      <c r="O284" s="29" t="str">
        <f aca="false">IF($M284="","",$M284*Config!$B$6)</f>
        <v/>
      </c>
      <c r="P284" s="28"/>
      <c r="Q284" s="28"/>
      <c r="R284" s="30" t="str">
        <f aca="false">IF($J284="","",$J284-$K284+SUM($L284)-SUM($N284:$Q284))</f>
        <v/>
      </c>
      <c r="S284" s="30" t="str">
        <f aca="false">IF(OR($R284="",$H284="",$H284=0),"",$R284/$H284)</f>
        <v/>
      </c>
      <c r="T284" s="29" t="str">
        <f aca="false">IF(OR($R284="",$M284="",$M284=0),"",$R284/$M284)</f>
        <v/>
      </c>
      <c r="U284" s="26" t="str">
        <f aca="false">IF(OR($H284="",$H284=0,$I284=""),"",$I284/$H284)</f>
        <v/>
      </c>
      <c r="V284" s="24"/>
    </row>
    <row r="285" customFormat="false" ht="15" hidden="false" customHeight="false" outlineLevel="0" collapsed="false">
      <c r="A285" s="21"/>
      <c r="B285" s="22" t="str">
        <f aca="false">IF($A285="","",INDEX(Config!$F$2:$F$8,WEEKDAY($A285,2)))</f>
        <v/>
      </c>
      <c r="C285" s="23" t="str">
        <f aca="false">IF($A285="","",EOMONTH($A285,0))</f>
        <v/>
      </c>
      <c r="D285" s="24"/>
      <c r="E285" s="24"/>
      <c r="F285" s="25"/>
      <c r="G285" s="25"/>
      <c r="H285" s="26" t="str">
        <f aca="false">IF(OR($F285="",$G285=""),"",($G285-$F285+IF($G285&lt;$F285,1,0))*24)</f>
        <v/>
      </c>
      <c r="I285" s="27"/>
      <c r="J285" s="28"/>
      <c r="K285" s="29" t="str">
        <f aca="false">IF($J285="","",$J285*Config!$B$5)</f>
        <v/>
      </c>
      <c r="L285" s="28"/>
      <c r="M285" s="27"/>
      <c r="N285" s="28"/>
      <c r="O285" s="29" t="str">
        <f aca="false">IF($M285="","",$M285*Config!$B$6)</f>
        <v/>
      </c>
      <c r="P285" s="28"/>
      <c r="Q285" s="28"/>
      <c r="R285" s="30" t="str">
        <f aca="false">IF($J285="","",$J285-$K285+SUM($L285)-SUM($N285:$Q285))</f>
        <v/>
      </c>
      <c r="S285" s="30" t="str">
        <f aca="false">IF(OR($R285="",$H285="",$H285=0),"",$R285/$H285)</f>
        <v/>
      </c>
      <c r="T285" s="29" t="str">
        <f aca="false">IF(OR($R285="",$M285="",$M285=0),"",$R285/$M285)</f>
        <v/>
      </c>
      <c r="U285" s="26" t="str">
        <f aca="false">IF(OR($H285="",$H285=0,$I285=""),"",$I285/$H285)</f>
        <v/>
      </c>
      <c r="V285" s="24"/>
    </row>
    <row r="286" customFormat="false" ht="15" hidden="false" customHeight="false" outlineLevel="0" collapsed="false">
      <c r="A286" s="21"/>
      <c r="B286" s="22" t="str">
        <f aca="false">IF($A286="","",INDEX(Config!$F$2:$F$8,WEEKDAY($A286,2)))</f>
        <v/>
      </c>
      <c r="C286" s="23" t="str">
        <f aca="false">IF($A286="","",EOMONTH($A286,0))</f>
        <v/>
      </c>
      <c r="D286" s="24"/>
      <c r="E286" s="24"/>
      <c r="F286" s="25"/>
      <c r="G286" s="25"/>
      <c r="H286" s="26" t="str">
        <f aca="false">IF(OR($F286="",$G286=""),"",($G286-$F286+IF($G286&lt;$F286,1,0))*24)</f>
        <v/>
      </c>
      <c r="I286" s="27"/>
      <c r="J286" s="28"/>
      <c r="K286" s="29" t="str">
        <f aca="false">IF($J286="","",$J286*Config!$B$5)</f>
        <v/>
      </c>
      <c r="L286" s="28"/>
      <c r="M286" s="27"/>
      <c r="N286" s="28"/>
      <c r="O286" s="29" t="str">
        <f aca="false">IF($M286="","",$M286*Config!$B$6)</f>
        <v/>
      </c>
      <c r="P286" s="28"/>
      <c r="Q286" s="28"/>
      <c r="R286" s="30" t="str">
        <f aca="false">IF($J286="","",$J286-$K286+SUM($L286)-SUM($N286:$Q286))</f>
        <v/>
      </c>
      <c r="S286" s="30" t="str">
        <f aca="false">IF(OR($R286="",$H286="",$H286=0),"",$R286/$H286)</f>
        <v/>
      </c>
      <c r="T286" s="29" t="str">
        <f aca="false">IF(OR($R286="",$M286="",$M286=0),"",$R286/$M286)</f>
        <v/>
      </c>
      <c r="U286" s="26" t="str">
        <f aca="false">IF(OR($H286="",$H286=0,$I286=""),"",$I286/$H286)</f>
        <v/>
      </c>
      <c r="V286" s="24"/>
    </row>
    <row r="287" customFormat="false" ht="15" hidden="false" customHeight="false" outlineLevel="0" collapsed="false">
      <c r="A287" s="21"/>
      <c r="B287" s="22" t="str">
        <f aca="false">IF($A287="","",INDEX(Config!$F$2:$F$8,WEEKDAY($A287,2)))</f>
        <v/>
      </c>
      <c r="C287" s="23" t="str">
        <f aca="false">IF($A287="","",EOMONTH($A287,0))</f>
        <v/>
      </c>
      <c r="D287" s="24"/>
      <c r="E287" s="24"/>
      <c r="F287" s="25"/>
      <c r="G287" s="25"/>
      <c r="H287" s="26" t="str">
        <f aca="false">IF(OR($F287="",$G287=""),"",($G287-$F287+IF($G287&lt;$F287,1,0))*24)</f>
        <v/>
      </c>
      <c r="I287" s="27"/>
      <c r="J287" s="28"/>
      <c r="K287" s="29" t="str">
        <f aca="false">IF($J287="","",$J287*Config!$B$5)</f>
        <v/>
      </c>
      <c r="L287" s="28"/>
      <c r="M287" s="27"/>
      <c r="N287" s="28"/>
      <c r="O287" s="29" t="str">
        <f aca="false">IF($M287="","",$M287*Config!$B$6)</f>
        <v/>
      </c>
      <c r="P287" s="28"/>
      <c r="Q287" s="28"/>
      <c r="R287" s="30" t="str">
        <f aca="false">IF($J287="","",$J287-$K287+SUM($L287)-SUM($N287:$Q287))</f>
        <v/>
      </c>
      <c r="S287" s="30" t="str">
        <f aca="false">IF(OR($R287="",$H287="",$H287=0),"",$R287/$H287)</f>
        <v/>
      </c>
      <c r="T287" s="29" t="str">
        <f aca="false">IF(OR($R287="",$M287="",$M287=0),"",$R287/$M287)</f>
        <v/>
      </c>
      <c r="U287" s="26" t="str">
        <f aca="false">IF(OR($H287="",$H287=0,$I287=""),"",$I287/$H287)</f>
        <v/>
      </c>
      <c r="V287" s="24"/>
    </row>
    <row r="288" customFormat="false" ht="15" hidden="false" customHeight="false" outlineLevel="0" collapsed="false">
      <c r="A288" s="21"/>
      <c r="B288" s="22" t="str">
        <f aca="false">IF($A288="","",INDEX(Config!$F$2:$F$8,WEEKDAY($A288,2)))</f>
        <v/>
      </c>
      <c r="C288" s="23" t="str">
        <f aca="false">IF($A288="","",EOMONTH($A288,0))</f>
        <v/>
      </c>
      <c r="D288" s="24"/>
      <c r="E288" s="24"/>
      <c r="F288" s="25"/>
      <c r="G288" s="25"/>
      <c r="H288" s="26" t="str">
        <f aca="false">IF(OR($F288="",$G288=""),"",($G288-$F288+IF($G288&lt;$F288,1,0))*24)</f>
        <v/>
      </c>
      <c r="I288" s="27"/>
      <c r="J288" s="28"/>
      <c r="K288" s="29" t="str">
        <f aca="false">IF($J288="","",$J288*Config!$B$5)</f>
        <v/>
      </c>
      <c r="L288" s="28"/>
      <c r="M288" s="27"/>
      <c r="N288" s="28"/>
      <c r="O288" s="29" t="str">
        <f aca="false">IF($M288="","",$M288*Config!$B$6)</f>
        <v/>
      </c>
      <c r="P288" s="28"/>
      <c r="Q288" s="28"/>
      <c r="R288" s="30" t="str">
        <f aca="false">IF($J288="","",$J288-$K288+SUM($L288)-SUM($N288:$Q288))</f>
        <v/>
      </c>
      <c r="S288" s="30" t="str">
        <f aca="false">IF(OR($R288="",$H288="",$H288=0),"",$R288/$H288)</f>
        <v/>
      </c>
      <c r="T288" s="29" t="str">
        <f aca="false">IF(OR($R288="",$M288="",$M288=0),"",$R288/$M288)</f>
        <v/>
      </c>
      <c r="U288" s="26" t="str">
        <f aca="false">IF(OR($H288="",$H288=0,$I288=""),"",$I288/$H288)</f>
        <v/>
      </c>
      <c r="V288" s="24"/>
    </row>
    <row r="289" customFormat="false" ht="15" hidden="false" customHeight="false" outlineLevel="0" collapsed="false">
      <c r="A289" s="21"/>
      <c r="B289" s="22" t="str">
        <f aca="false">IF($A289="","",INDEX(Config!$F$2:$F$8,WEEKDAY($A289,2)))</f>
        <v/>
      </c>
      <c r="C289" s="23" t="str">
        <f aca="false">IF($A289="","",EOMONTH($A289,0))</f>
        <v/>
      </c>
      <c r="D289" s="24"/>
      <c r="E289" s="24"/>
      <c r="F289" s="25"/>
      <c r="G289" s="25"/>
      <c r="H289" s="26" t="str">
        <f aca="false">IF(OR($F289="",$G289=""),"",($G289-$F289+IF($G289&lt;$F289,1,0))*24)</f>
        <v/>
      </c>
      <c r="I289" s="27"/>
      <c r="J289" s="28"/>
      <c r="K289" s="29" t="str">
        <f aca="false">IF($J289="","",$J289*Config!$B$5)</f>
        <v/>
      </c>
      <c r="L289" s="28"/>
      <c r="M289" s="27"/>
      <c r="N289" s="28"/>
      <c r="O289" s="29" t="str">
        <f aca="false">IF($M289="","",$M289*Config!$B$6)</f>
        <v/>
      </c>
      <c r="P289" s="28"/>
      <c r="Q289" s="28"/>
      <c r="R289" s="30" t="str">
        <f aca="false">IF($J289="","",$J289-$K289+SUM($L289)-SUM($N289:$Q289))</f>
        <v/>
      </c>
      <c r="S289" s="30" t="str">
        <f aca="false">IF(OR($R289="",$H289="",$H289=0),"",$R289/$H289)</f>
        <v/>
      </c>
      <c r="T289" s="29" t="str">
        <f aca="false">IF(OR($R289="",$M289="",$M289=0),"",$R289/$M289)</f>
        <v/>
      </c>
      <c r="U289" s="26" t="str">
        <f aca="false">IF(OR($H289="",$H289=0,$I289=""),"",$I289/$H289)</f>
        <v/>
      </c>
      <c r="V289" s="24"/>
    </row>
    <row r="290" customFormat="false" ht="15" hidden="false" customHeight="false" outlineLevel="0" collapsed="false">
      <c r="A290" s="21"/>
      <c r="B290" s="22" t="str">
        <f aca="false">IF($A290="","",INDEX(Config!$F$2:$F$8,WEEKDAY($A290,2)))</f>
        <v/>
      </c>
      <c r="C290" s="23" t="str">
        <f aca="false">IF($A290="","",EOMONTH($A290,0))</f>
        <v/>
      </c>
      <c r="D290" s="24"/>
      <c r="E290" s="24"/>
      <c r="F290" s="25"/>
      <c r="G290" s="25"/>
      <c r="H290" s="26" t="str">
        <f aca="false">IF(OR($F290="",$G290=""),"",($G290-$F290+IF($G290&lt;$F290,1,0))*24)</f>
        <v/>
      </c>
      <c r="I290" s="27"/>
      <c r="J290" s="28"/>
      <c r="K290" s="29" t="str">
        <f aca="false">IF($J290="","",$J290*Config!$B$5)</f>
        <v/>
      </c>
      <c r="L290" s="28"/>
      <c r="M290" s="27"/>
      <c r="N290" s="28"/>
      <c r="O290" s="29" t="str">
        <f aca="false">IF($M290="","",$M290*Config!$B$6)</f>
        <v/>
      </c>
      <c r="P290" s="28"/>
      <c r="Q290" s="28"/>
      <c r="R290" s="30" t="str">
        <f aca="false">IF($J290="","",$J290-$K290+SUM($L290)-SUM($N290:$Q290))</f>
        <v/>
      </c>
      <c r="S290" s="30" t="str">
        <f aca="false">IF(OR($R290="",$H290="",$H290=0),"",$R290/$H290)</f>
        <v/>
      </c>
      <c r="T290" s="29" t="str">
        <f aca="false">IF(OR($R290="",$M290="",$M290=0),"",$R290/$M290)</f>
        <v/>
      </c>
      <c r="U290" s="26" t="str">
        <f aca="false">IF(OR($H290="",$H290=0,$I290=""),"",$I290/$H290)</f>
        <v/>
      </c>
      <c r="V290" s="24"/>
    </row>
    <row r="291" customFormat="false" ht="15" hidden="false" customHeight="false" outlineLevel="0" collapsed="false">
      <c r="A291" s="21"/>
      <c r="B291" s="22" t="str">
        <f aca="false">IF($A291="","",INDEX(Config!$F$2:$F$8,WEEKDAY($A291,2)))</f>
        <v/>
      </c>
      <c r="C291" s="23" t="str">
        <f aca="false">IF($A291="","",EOMONTH($A291,0))</f>
        <v/>
      </c>
      <c r="D291" s="24"/>
      <c r="E291" s="24"/>
      <c r="F291" s="25"/>
      <c r="G291" s="25"/>
      <c r="H291" s="26" t="str">
        <f aca="false">IF(OR($F291="",$G291=""),"",($G291-$F291+IF($G291&lt;$F291,1,0))*24)</f>
        <v/>
      </c>
      <c r="I291" s="27"/>
      <c r="J291" s="28"/>
      <c r="K291" s="29" t="str">
        <f aca="false">IF($J291="","",$J291*Config!$B$5)</f>
        <v/>
      </c>
      <c r="L291" s="28"/>
      <c r="M291" s="27"/>
      <c r="N291" s="28"/>
      <c r="O291" s="29" t="str">
        <f aca="false">IF($M291="","",$M291*Config!$B$6)</f>
        <v/>
      </c>
      <c r="P291" s="28"/>
      <c r="Q291" s="28"/>
      <c r="R291" s="30" t="str">
        <f aca="false">IF($J291="","",$J291-$K291+SUM($L291)-SUM($N291:$Q291))</f>
        <v/>
      </c>
      <c r="S291" s="30" t="str">
        <f aca="false">IF(OR($R291="",$H291="",$H291=0),"",$R291/$H291)</f>
        <v/>
      </c>
      <c r="T291" s="29" t="str">
        <f aca="false">IF(OR($R291="",$M291="",$M291=0),"",$R291/$M291)</f>
        <v/>
      </c>
      <c r="U291" s="26" t="str">
        <f aca="false">IF(OR($H291="",$H291=0,$I291=""),"",$I291/$H291)</f>
        <v/>
      </c>
      <c r="V291" s="24"/>
    </row>
    <row r="292" customFormat="false" ht="15" hidden="false" customHeight="false" outlineLevel="0" collapsed="false">
      <c r="A292" s="21"/>
      <c r="B292" s="22" t="str">
        <f aca="false">IF($A292="","",INDEX(Config!$F$2:$F$8,WEEKDAY($A292,2)))</f>
        <v/>
      </c>
      <c r="C292" s="23" t="str">
        <f aca="false">IF($A292="","",EOMONTH($A292,0))</f>
        <v/>
      </c>
      <c r="D292" s="24"/>
      <c r="E292" s="24"/>
      <c r="F292" s="25"/>
      <c r="G292" s="25"/>
      <c r="H292" s="26" t="str">
        <f aca="false">IF(OR($F292="",$G292=""),"",($G292-$F292+IF($G292&lt;$F292,1,0))*24)</f>
        <v/>
      </c>
      <c r="I292" s="27"/>
      <c r="J292" s="28"/>
      <c r="K292" s="29" t="str">
        <f aca="false">IF($J292="","",$J292*Config!$B$5)</f>
        <v/>
      </c>
      <c r="L292" s="28"/>
      <c r="M292" s="27"/>
      <c r="N292" s="28"/>
      <c r="O292" s="29" t="str">
        <f aca="false">IF($M292="","",$M292*Config!$B$6)</f>
        <v/>
      </c>
      <c r="P292" s="28"/>
      <c r="Q292" s="28"/>
      <c r="R292" s="30" t="str">
        <f aca="false">IF($J292="","",$J292-$K292+SUM($L292)-SUM($N292:$Q292))</f>
        <v/>
      </c>
      <c r="S292" s="30" t="str">
        <f aca="false">IF(OR($R292="",$H292="",$H292=0),"",$R292/$H292)</f>
        <v/>
      </c>
      <c r="T292" s="29" t="str">
        <f aca="false">IF(OR($R292="",$M292="",$M292=0),"",$R292/$M292)</f>
        <v/>
      </c>
      <c r="U292" s="26" t="str">
        <f aca="false">IF(OR($H292="",$H292=0,$I292=""),"",$I292/$H292)</f>
        <v/>
      </c>
      <c r="V292" s="24"/>
    </row>
    <row r="293" customFormat="false" ht="15" hidden="false" customHeight="false" outlineLevel="0" collapsed="false">
      <c r="A293" s="21"/>
      <c r="B293" s="22" t="str">
        <f aca="false">IF($A293="","",INDEX(Config!$F$2:$F$8,WEEKDAY($A293,2)))</f>
        <v/>
      </c>
      <c r="C293" s="23" t="str">
        <f aca="false">IF($A293="","",EOMONTH($A293,0))</f>
        <v/>
      </c>
      <c r="D293" s="24"/>
      <c r="E293" s="24"/>
      <c r="F293" s="25"/>
      <c r="G293" s="25"/>
      <c r="H293" s="26" t="str">
        <f aca="false">IF(OR($F293="",$G293=""),"",($G293-$F293+IF($G293&lt;$F293,1,0))*24)</f>
        <v/>
      </c>
      <c r="I293" s="27"/>
      <c r="J293" s="28"/>
      <c r="K293" s="29" t="str">
        <f aca="false">IF($J293="","",$J293*Config!$B$5)</f>
        <v/>
      </c>
      <c r="L293" s="28"/>
      <c r="M293" s="27"/>
      <c r="N293" s="28"/>
      <c r="O293" s="29" t="str">
        <f aca="false">IF($M293="","",$M293*Config!$B$6)</f>
        <v/>
      </c>
      <c r="P293" s="28"/>
      <c r="Q293" s="28"/>
      <c r="R293" s="30" t="str">
        <f aca="false">IF($J293="","",$J293-$K293+SUM($L293)-SUM($N293:$Q293))</f>
        <v/>
      </c>
      <c r="S293" s="30" t="str">
        <f aca="false">IF(OR($R293="",$H293="",$H293=0),"",$R293/$H293)</f>
        <v/>
      </c>
      <c r="T293" s="29" t="str">
        <f aca="false">IF(OR($R293="",$M293="",$M293=0),"",$R293/$M293)</f>
        <v/>
      </c>
      <c r="U293" s="26" t="str">
        <f aca="false">IF(OR($H293="",$H293=0,$I293=""),"",$I293/$H293)</f>
        <v/>
      </c>
      <c r="V293" s="24"/>
    </row>
    <row r="294" customFormat="false" ht="15" hidden="false" customHeight="false" outlineLevel="0" collapsed="false">
      <c r="A294" s="21"/>
      <c r="B294" s="22" t="str">
        <f aca="false">IF($A294="","",INDEX(Config!$F$2:$F$8,WEEKDAY($A294,2)))</f>
        <v/>
      </c>
      <c r="C294" s="23" t="str">
        <f aca="false">IF($A294="","",EOMONTH($A294,0))</f>
        <v/>
      </c>
      <c r="D294" s="24"/>
      <c r="E294" s="24"/>
      <c r="F294" s="25"/>
      <c r="G294" s="25"/>
      <c r="H294" s="26" t="str">
        <f aca="false">IF(OR($F294="",$G294=""),"",($G294-$F294+IF($G294&lt;$F294,1,0))*24)</f>
        <v/>
      </c>
      <c r="I294" s="27"/>
      <c r="J294" s="28"/>
      <c r="K294" s="29" t="str">
        <f aca="false">IF($J294="","",$J294*Config!$B$5)</f>
        <v/>
      </c>
      <c r="L294" s="28"/>
      <c r="M294" s="27"/>
      <c r="N294" s="28"/>
      <c r="O294" s="29" t="str">
        <f aca="false">IF($M294="","",$M294*Config!$B$6)</f>
        <v/>
      </c>
      <c r="P294" s="28"/>
      <c r="Q294" s="28"/>
      <c r="R294" s="30" t="str">
        <f aca="false">IF($J294="","",$J294-$K294+SUM($L294)-SUM($N294:$Q294))</f>
        <v/>
      </c>
      <c r="S294" s="30" t="str">
        <f aca="false">IF(OR($R294="",$H294="",$H294=0),"",$R294/$H294)</f>
        <v/>
      </c>
      <c r="T294" s="29" t="str">
        <f aca="false">IF(OR($R294="",$M294="",$M294=0),"",$R294/$M294)</f>
        <v/>
      </c>
      <c r="U294" s="26" t="str">
        <f aca="false">IF(OR($H294="",$H294=0,$I294=""),"",$I294/$H294)</f>
        <v/>
      </c>
      <c r="V294" s="24"/>
    </row>
    <row r="295" customFormat="false" ht="15" hidden="false" customHeight="false" outlineLevel="0" collapsed="false">
      <c r="A295" s="21"/>
      <c r="B295" s="22" t="str">
        <f aca="false">IF($A295="","",INDEX(Config!$F$2:$F$8,WEEKDAY($A295,2)))</f>
        <v/>
      </c>
      <c r="C295" s="23" t="str">
        <f aca="false">IF($A295="","",EOMONTH($A295,0))</f>
        <v/>
      </c>
      <c r="D295" s="24"/>
      <c r="E295" s="24"/>
      <c r="F295" s="25"/>
      <c r="G295" s="25"/>
      <c r="H295" s="26" t="str">
        <f aca="false">IF(OR($F295="",$G295=""),"",($G295-$F295+IF($G295&lt;$F295,1,0))*24)</f>
        <v/>
      </c>
      <c r="I295" s="27"/>
      <c r="J295" s="28"/>
      <c r="K295" s="29" t="str">
        <f aca="false">IF($J295="","",$J295*Config!$B$5)</f>
        <v/>
      </c>
      <c r="L295" s="28"/>
      <c r="M295" s="27"/>
      <c r="N295" s="28"/>
      <c r="O295" s="29" t="str">
        <f aca="false">IF($M295="","",$M295*Config!$B$6)</f>
        <v/>
      </c>
      <c r="P295" s="28"/>
      <c r="Q295" s="28"/>
      <c r="R295" s="30" t="str">
        <f aca="false">IF($J295="","",$J295-$K295+SUM($L295)-SUM($N295:$Q295))</f>
        <v/>
      </c>
      <c r="S295" s="30" t="str">
        <f aca="false">IF(OR($R295="",$H295="",$H295=0),"",$R295/$H295)</f>
        <v/>
      </c>
      <c r="T295" s="29" t="str">
        <f aca="false">IF(OR($R295="",$M295="",$M295=0),"",$R295/$M295)</f>
        <v/>
      </c>
      <c r="U295" s="26" t="str">
        <f aca="false">IF(OR($H295="",$H295=0,$I295=""),"",$I295/$H295)</f>
        <v/>
      </c>
      <c r="V295" s="24"/>
    </row>
    <row r="296" customFormat="false" ht="15" hidden="false" customHeight="false" outlineLevel="0" collapsed="false">
      <c r="A296" s="21"/>
      <c r="B296" s="22" t="str">
        <f aca="false">IF($A296="","",INDEX(Config!$F$2:$F$8,WEEKDAY($A296,2)))</f>
        <v/>
      </c>
      <c r="C296" s="23" t="str">
        <f aca="false">IF($A296="","",EOMONTH($A296,0))</f>
        <v/>
      </c>
      <c r="D296" s="24"/>
      <c r="E296" s="24"/>
      <c r="F296" s="25"/>
      <c r="G296" s="25"/>
      <c r="H296" s="26" t="str">
        <f aca="false">IF(OR($F296="",$G296=""),"",($G296-$F296+IF($G296&lt;$F296,1,0))*24)</f>
        <v/>
      </c>
      <c r="I296" s="27"/>
      <c r="J296" s="28"/>
      <c r="K296" s="29" t="str">
        <f aca="false">IF($J296="","",$J296*Config!$B$5)</f>
        <v/>
      </c>
      <c r="L296" s="28"/>
      <c r="M296" s="27"/>
      <c r="N296" s="28"/>
      <c r="O296" s="29" t="str">
        <f aca="false">IF($M296="","",$M296*Config!$B$6)</f>
        <v/>
      </c>
      <c r="P296" s="28"/>
      <c r="Q296" s="28"/>
      <c r="R296" s="30" t="str">
        <f aca="false">IF($J296="","",$J296-$K296+SUM($L296)-SUM($N296:$Q296))</f>
        <v/>
      </c>
      <c r="S296" s="30" t="str">
        <f aca="false">IF(OR($R296="",$H296="",$H296=0),"",$R296/$H296)</f>
        <v/>
      </c>
      <c r="T296" s="29" t="str">
        <f aca="false">IF(OR($R296="",$M296="",$M296=0),"",$R296/$M296)</f>
        <v/>
      </c>
      <c r="U296" s="26" t="str">
        <f aca="false">IF(OR($H296="",$H296=0,$I296=""),"",$I296/$H296)</f>
        <v/>
      </c>
      <c r="V296" s="24"/>
    </row>
    <row r="297" customFormat="false" ht="15" hidden="false" customHeight="false" outlineLevel="0" collapsed="false">
      <c r="A297" s="21"/>
      <c r="B297" s="22" t="str">
        <f aca="false">IF($A297="","",INDEX(Config!$F$2:$F$8,WEEKDAY($A297,2)))</f>
        <v/>
      </c>
      <c r="C297" s="23" t="str">
        <f aca="false">IF($A297="","",EOMONTH($A297,0))</f>
        <v/>
      </c>
      <c r="D297" s="24"/>
      <c r="E297" s="24"/>
      <c r="F297" s="25"/>
      <c r="G297" s="25"/>
      <c r="H297" s="26" t="str">
        <f aca="false">IF(OR($F297="",$G297=""),"",($G297-$F297+IF($G297&lt;$F297,1,0))*24)</f>
        <v/>
      </c>
      <c r="I297" s="27"/>
      <c r="J297" s="28"/>
      <c r="K297" s="29" t="str">
        <f aca="false">IF($J297="","",$J297*Config!$B$5)</f>
        <v/>
      </c>
      <c r="L297" s="28"/>
      <c r="M297" s="27"/>
      <c r="N297" s="28"/>
      <c r="O297" s="29" t="str">
        <f aca="false">IF($M297="","",$M297*Config!$B$6)</f>
        <v/>
      </c>
      <c r="P297" s="28"/>
      <c r="Q297" s="28"/>
      <c r="R297" s="30" t="str">
        <f aca="false">IF($J297="","",$J297-$K297+SUM($L297)-SUM($N297:$Q297))</f>
        <v/>
      </c>
      <c r="S297" s="30" t="str">
        <f aca="false">IF(OR($R297="",$H297="",$H297=0),"",$R297/$H297)</f>
        <v/>
      </c>
      <c r="T297" s="29" t="str">
        <f aca="false">IF(OR($R297="",$M297="",$M297=0),"",$R297/$M297)</f>
        <v/>
      </c>
      <c r="U297" s="26" t="str">
        <f aca="false">IF(OR($H297="",$H297=0,$I297=""),"",$I297/$H297)</f>
        <v/>
      </c>
      <c r="V297" s="24"/>
    </row>
    <row r="298" customFormat="false" ht="15" hidden="false" customHeight="false" outlineLevel="0" collapsed="false">
      <c r="A298" s="21"/>
      <c r="B298" s="22" t="str">
        <f aca="false">IF($A298="","",INDEX(Config!$F$2:$F$8,WEEKDAY($A298,2)))</f>
        <v/>
      </c>
      <c r="C298" s="23" t="str">
        <f aca="false">IF($A298="","",EOMONTH($A298,0))</f>
        <v/>
      </c>
      <c r="D298" s="24"/>
      <c r="E298" s="24"/>
      <c r="F298" s="25"/>
      <c r="G298" s="25"/>
      <c r="H298" s="26" t="str">
        <f aca="false">IF(OR($F298="",$G298=""),"",($G298-$F298+IF($G298&lt;$F298,1,0))*24)</f>
        <v/>
      </c>
      <c r="I298" s="27"/>
      <c r="J298" s="28"/>
      <c r="K298" s="29" t="str">
        <f aca="false">IF($J298="","",$J298*Config!$B$5)</f>
        <v/>
      </c>
      <c r="L298" s="28"/>
      <c r="M298" s="27"/>
      <c r="N298" s="28"/>
      <c r="O298" s="29" t="str">
        <f aca="false">IF($M298="","",$M298*Config!$B$6)</f>
        <v/>
      </c>
      <c r="P298" s="28"/>
      <c r="Q298" s="28"/>
      <c r="R298" s="30" t="str">
        <f aca="false">IF($J298="","",$J298-$K298+SUM($L298)-SUM($N298:$Q298))</f>
        <v/>
      </c>
      <c r="S298" s="30" t="str">
        <f aca="false">IF(OR($R298="",$H298="",$H298=0),"",$R298/$H298)</f>
        <v/>
      </c>
      <c r="T298" s="29" t="str">
        <f aca="false">IF(OR($R298="",$M298="",$M298=0),"",$R298/$M298)</f>
        <v/>
      </c>
      <c r="U298" s="26" t="str">
        <f aca="false">IF(OR($H298="",$H298=0,$I298=""),"",$I298/$H298)</f>
        <v/>
      </c>
      <c r="V298" s="24"/>
    </row>
    <row r="299" customFormat="false" ht="15" hidden="false" customHeight="false" outlineLevel="0" collapsed="false">
      <c r="A299" s="21"/>
      <c r="B299" s="22" t="str">
        <f aca="false">IF($A299="","",INDEX(Config!$F$2:$F$8,WEEKDAY($A299,2)))</f>
        <v/>
      </c>
      <c r="C299" s="23" t="str">
        <f aca="false">IF($A299="","",EOMONTH($A299,0))</f>
        <v/>
      </c>
      <c r="D299" s="24"/>
      <c r="E299" s="24"/>
      <c r="F299" s="25"/>
      <c r="G299" s="25"/>
      <c r="H299" s="26" t="str">
        <f aca="false">IF(OR($F299="",$G299=""),"",($G299-$F299+IF($G299&lt;$F299,1,0))*24)</f>
        <v/>
      </c>
      <c r="I299" s="27"/>
      <c r="J299" s="28"/>
      <c r="K299" s="29" t="str">
        <f aca="false">IF($J299="","",$J299*Config!$B$5)</f>
        <v/>
      </c>
      <c r="L299" s="28"/>
      <c r="M299" s="27"/>
      <c r="N299" s="28"/>
      <c r="O299" s="29" t="str">
        <f aca="false">IF($M299="","",$M299*Config!$B$6)</f>
        <v/>
      </c>
      <c r="P299" s="28"/>
      <c r="Q299" s="28"/>
      <c r="R299" s="30" t="str">
        <f aca="false">IF($J299="","",$J299-$K299+SUM($L299)-SUM($N299:$Q299))</f>
        <v/>
      </c>
      <c r="S299" s="30" t="str">
        <f aca="false">IF(OR($R299="",$H299="",$H299=0),"",$R299/$H299)</f>
        <v/>
      </c>
      <c r="T299" s="29" t="str">
        <f aca="false">IF(OR($R299="",$M299="",$M299=0),"",$R299/$M299)</f>
        <v/>
      </c>
      <c r="U299" s="26" t="str">
        <f aca="false">IF(OR($H299="",$H299=0,$I299=""),"",$I299/$H299)</f>
        <v/>
      </c>
      <c r="V299" s="24"/>
    </row>
    <row r="300" customFormat="false" ht="15" hidden="false" customHeight="false" outlineLevel="0" collapsed="false">
      <c r="A300" s="21"/>
      <c r="B300" s="22" t="str">
        <f aca="false">IF($A300="","",INDEX(Config!$F$2:$F$8,WEEKDAY($A300,2)))</f>
        <v/>
      </c>
      <c r="C300" s="23" t="str">
        <f aca="false">IF($A300="","",EOMONTH($A300,0))</f>
        <v/>
      </c>
      <c r="D300" s="24"/>
      <c r="E300" s="24"/>
      <c r="F300" s="25"/>
      <c r="G300" s="25"/>
      <c r="H300" s="26" t="str">
        <f aca="false">IF(OR($F300="",$G300=""),"",($G300-$F300+IF($G300&lt;$F300,1,0))*24)</f>
        <v/>
      </c>
      <c r="I300" s="27"/>
      <c r="J300" s="28"/>
      <c r="K300" s="29" t="str">
        <f aca="false">IF($J300="","",$J300*Config!$B$5)</f>
        <v/>
      </c>
      <c r="L300" s="28"/>
      <c r="M300" s="27"/>
      <c r="N300" s="28"/>
      <c r="O300" s="29" t="str">
        <f aca="false">IF($M300="","",$M300*Config!$B$6)</f>
        <v/>
      </c>
      <c r="P300" s="28"/>
      <c r="Q300" s="28"/>
      <c r="R300" s="30" t="str">
        <f aca="false">IF($J300="","",$J300-$K300+SUM($L300)-SUM($N300:$Q300))</f>
        <v/>
      </c>
      <c r="S300" s="30" t="str">
        <f aca="false">IF(OR($R300="",$H300="",$H300=0),"",$R300/$H300)</f>
        <v/>
      </c>
      <c r="T300" s="29" t="str">
        <f aca="false">IF(OR($R300="",$M300="",$M300=0),"",$R300/$M300)</f>
        <v/>
      </c>
      <c r="U300" s="26" t="str">
        <f aca="false">IF(OR($H300="",$H300=0,$I300=""),"",$I300/$H300)</f>
        <v/>
      </c>
      <c r="V300" s="24"/>
    </row>
    <row r="301" customFormat="false" ht="15" hidden="false" customHeight="false" outlineLevel="0" collapsed="false">
      <c r="A301" s="21"/>
      <c r="B301" s="22" t="str">
        <f aca="false">IF($A301="","",INDEX(Config!$F$2:$F$8,WEEKDAY($A301,2)))</f>
        <v/>
      </c>
      <c r="C301" s="23" t="str">
        <f aca="false">IF($A301="","",EOMONTH($A301,0))</f>
        <v/>
      </c>
      <c r="D301" s="24"/>
      <c r="E301" s="24"/>
      <c r="F301" s="25"/>
      <c r="G301" s="25"/>
      <c r="H301" s="26" t="str">
        <f aca="false">IF(OR($F301="",$G301=""),"",($G301-$F301+IF($G301&lt;$F301,1,0))*24)</f>
        <v/>
      </c>
      <c r="I301" s="27"/>
      <c r="J301" s="28"/>
      <c r="K301" s="29" t="str">
        <f aca="false">IF($J301="","",$J301*Config!$B$5)</f>
        <v/>
      </c>
      <c r="L301" s="28"/>
      <c r="M301" s="27"/>
      <c r="N301" s="28"/>
      <c r="O301" s="29" t="str">
        <f aca="false">IF($M301="","",$M301*Config!$B$6)</f>
        <v/>
      </c>
      <c r="P301" s="28"/>
      <c r="Q301" s="28"/>
      <c r="R301" s="30" t="str">
        <f aca="false">IF($J301="","",$J301-$K301+SUM($L301)-SUM($N301:$Q301))</f>
        <v/>
      </c>
      <c r="S301" s="30" t="str">
        <f aca="false">IF(OR($R301="",$H301="",$H301=0),"",$R301/$H301)</f>
        <v/>
      </c>
      <c r="T301" s="29" t="str">
        <f aca="false">IF(OR($R301="",$M301="",$M301=0),"",$R301/$M301)</f>
        <v/>
      </c>
      <c r="U301" s="26" t="str">
        <f aca="false">IF(OR($H301="",$H301=0,$I301=""),"",$I301/$H301)</f>
        <v/>
      </c>
      <c r="V301" s="24"/>
    </row>
    <row r="302" customFormat="false" ht="15" hidden="false" customHeight="false" outlineLevel="0" collapsed="false">
      <c r="A302" s="21"/>
      <c r="B302" s="22" t="str">
        <f aca="false">IF($A302="","",INDEX(Config!$F$2:$F$8,WEEKDAY($A302,2)))</f>
        <v/>
      </c>
      <c r="C302" s="23" t="str">
        <f aca="false">IF($A302="","",EOMONTH($A302,0))</f>
        <v/>
      </c>
      <c r="D302" s="24"/>
      <c r="E302" s="24"/>
      <c r="F302" s="25"/>
      <c r="G302" s="25"/>
      <c r="H302" s="26" t="str">
        <f aca="false">IF(OR($F302="",$G302=""),"",($G302-$F302+IF($G302&lt;$F302,1,0))*24)</f>
        <v/>
      </c>
      <c r="I302" s="27"/>
      <c r="J302" s="28"/>
      <c r="K302" s="29" t="str">
        <f aca="false">IF($J302="","",$J302*Config!$B$5)</f>
        <v/>
      </c>
      <c r="L302" s="28"/>
      <c r="M302" s="27"/>
      <c r="N302" s="28"/>
      <c r="O302" s="29" t="str">
        <f aca="false">IF($M302="","",$M302*Config!$B$6)</f>
        <v/>
      </c>
      <c r="P302" s="28"/>
      <c r="Q302" s="28"/>
      <c r="R302" s="30" t="str">
        <f aca="false">IF($J302="","",$J302-$K302+SUM($L302)-SUM($N302:$Q302))</f>
        <v/>
      </c>
      <c r="S302" s="30" t="str">
        <f aca="false">IF(OR($R302="",$H302="",$H302=0),"",$R302/$H302)</f>
        <v/>
      </c>
      <c r="T302" s="29" t="str">
        <f aca="false">IF(OR($R302="",$M302="",$M302=0),"",$R302/$M302)</f>
        <v/>
      </c>
      <c r="U302" s="26" t="str">
        <f aca="false">IF(OR($H302="",$H302=0,$I302=""),"",$I302/$H302)</f>
        <v/>
      </c>
      <c r="V302" s="24"/>
    </row>
    <row r="303" customFormat="false" ht="15" hidden="false" customHeight="false" outlineLevel="0" collapsed="false">
      <c r="A303" s="21"/>
      <c r="B303" s="22" t="str">
        <f aca="false">IF($A303="","",INDEX(Config!$F$2:$F$8,WEEKDAY($A303,2)))</f>
        <v/>
      </c>
      <c r="C303" s="23" t="str">
        <f aca="false">IF($A303="","",EOMONTH($A303,0))</f>
        <v/>
      </c>
      <c r="D303" s="24"/>
      <c r="E303" s="24"/>
      <c r="F303" s="25"/>
      <c r="G303" s="25"/>
      <c r="H303" s="26" t="str">
        <f aca="false">IF(OR($F303="",$G303=""),"",($G303-$F303+IF($G303&lt;$F303,1,0))*24)</f>
        <v/>
      </c>
      <c r="I303" s="27"/>
      <c r="J303" s="28"/>
      <c r="K303" s="29" t="str">
        <f aca="false">IF($J303="","",$J303*Config!$B$5)</f>
        <v/>
      </c>
      <c r="L303" s="28"/>
      <c r="M303" s="27"/>
      <c r="N303" s="28"/>
      <c r="O303" s="29" t="str">
        <f aca="false">IF($M303="","",$M303*Config!$B$6)</f>
        <v/>
      </c>
      <c r="P303" s="28"/>
      <c r="Q303" s="28"/>
      <c r="R303" s="30" t="str">
        <f aca="false">IF($J303="","",$J303-$K303+SUM($L303)-SUM($N303:$Q303))</f>
        <v/>
      </c>
      <c r="S303" s="30" t="str">
        <f aca="false">IF(OR($R303="",$H303="",$H303=0),"",$R303/$H303)</f>
        <v/>
      </c>
      <c r="T303" s="29" t="str">
        <f aca="false">IF(OR($R303="",$M303="",$M303=0),"",$R303/$M303)</f>
        <v/>
      </c>
      <c r="U303" s="26" t="str">
        <f aca="false">IF(OR($H303="",$H303=0,$I303=""),"",$I303/$H303)</f>
        <v/>
      </c>
      <c r="V303" s="24"/>
    </row>
    <row r="304" customFormat="false" ht="15" hidden="false" customHeight="false" outlineLevel="0" collapsed="false">
      <c r="A304" s="21"/>
      <c r="B304" s="22" t="str">
        <f aca="false">IF($A304="","",INDEX(Config!$F$2:$F$8,WEEKDAY($A304,2)))</f>
        <v/>
      </c>
      <c r="C304" s="23" t="str">
        <f aca="false">IF($A304="","",EOMONTH($A304,0))</f>
        <v/>
      </c>
      <c r="D304" s="24"/>
      <c r="E304" s="24"/>
      <c r="F304" s="25"/>
      <c r="G304" s="25"/>
      <c r="H304" s="26" t="str">
        <f aca="false">IF(OR($F304="",$G304=""),"",($G304-$F304+IF($G304&lt;$F304,1,0))*24)</f>
        <v/>
      </c>
      <c r="I304" s="27"/>
      <c r="J304" s="28"/>
      <c r="K304" s="29" t="str">
        <f aca="false">IF($J304="","",$J304*Config!$B$5)</f>
        <v/>
      </c>
      <c r="L304" s="28"/>
      <c r="M304" s="27"/>
      <c r="N304" s="28"/>
      <c r="O304" s="29" t="str">
        <f aca="false">IF($M304="","",$M304*Config!$B$6)</f>
        <v/>
      </c>
      <c r="P304" s="28"/>
      <c r="Q304" s="28"/>
      <c r="R304" s="30" t="str">
        <f aca="false">IF($J304="","",$J304-$K304+SUM($L304)-SUM($N304:$Q304))</f>
        <v/>
      </c>
      <c r="S304" s="30" t="str">
        <f aca="false">IF(OR($R304="",$H304="",$H304=0),"",$R304/$H304)</f>
        <v/>
      </c>
      <c r="T304" s="29" t="str">
        <f aca="false">IF(OR($R304="",$M304="",$M304=0),"",$R304/$M304)</f>
        <v/>
      </c>
      <c r="U304" s="26" t="str">
        <f aca="false">IF(OR($H304="",$H304=0,$I304=""),"",$I304/$H304)</f>
        <v/>
      </c>
      <c r="V304" s="24"/>
    </row>
    <row r="305" customFormat="false" ht="15" hidden="false" customHeight="false" outlineLevel="0" collapsed="false">
      <c r="A305" s="21"/>
      <c r="B305" s="22" t="str">
        <f aca="false">IF($A305="","",INDEX(Config!$F$2:$F$8,WEEKDAY($A305,2)))</f>
        <v/>
      </c>
      <c r="C305" s="23" t="str">
        <f aca="false">IF($A305="","",EOMONTH($A305,0))</f>
        <v/>
      </c>
      <c r="D305" s="24"/>
      <c r="E305" s="24"/>
      <c r="F305" s="25"/>
      <c r="G305" s="25"/>
      <c r="H305" s="26" t="str">
        <f aca="false">IF(OR($F305="",$G305=""),"",($G305-$F305+IF($G305&lt;$F305,1,0))*24)</f>
        <v/>
      </c>
      <c r="I305" s="27"/>
      <c r="J305" s="28"/>
      <c r="K305" s="29" t="str">
        <f aca="false">IF($J305="","",$J305*Config!$B$5)</f>
        <v/>
      </c>
      <c r="L305" s="28"/>
      <c r="M305" s="27"/>
      <c r="N305" s="28"/>
      <c r="O305" s="29" t="str">
        <f aca="false">IF($M305="","",$M305*Config!$B$6)</f>
        <v/>
      </c>
      <c r="P305" s="28"/>
      <c r="Q305" s="28"/>
      <c r="R305" s="30" t="str">
        <f aca="false">IF($J305="","",$J305-$K305+SUM($L305)-SUM($N305:$Q305))</f>
        <v/>
      </c>
      <c r="S305" s="30" t="str">
        <f aca="false">IF(OR($R305="",$H305="",$H305=0),"",$R305/$H305)</f>
        <v/>
      </c>
      <c r="T305" s="29" t="str">
        <f aca="false">IF(OR($R305="",$M305="",$M305=0),"",$R305/$M305)</f>
        <v/>
      </c>
      <c r="U305" s="26" t="str">
        <f aca="false">IF(OR($H305="",$H305=0,$I305=""),"",$I305/$H305)</f>
        <v/>
      </c>
      <c r="V305" s="24"/>
    </row>
    <row r="306" customFormat="false" ht="15" hidden="false" customHeight="false" outlineLevel="0" collapsed="false">
      <c r="A306" s="21"/>
      <c r="B306" s="22" t="str">
        <f aca="false">IF($A306="","",INDEX(Config!$F$2:$F$8,WEEKDAY($A306,2)))</f>
        <v/>
      </c>
      <c r="C306" s="23" t="str">
        <f aca="false">IF($A306="","",EOMONTH($A306,0))</f>
        <v/>
      </c>
      <c r="D306" s="24"/>
      <c r="E306" s="24"/>
      <c r="F306" s="25"/>
      <c r="G306" s="25"/>
      <c r="H306" s="26" t="str">
        <f aca="false">IF(OR($F306="",$G306=""),"",($G306-$F306+IF($G306&lt;$F306,1,0))*24)</f>
        <v/>
      </c>
      <c r="I306" s="27"/>
      <c r="J306" s="28"/>
      <c r="K306" s="29" t="str">
        <f aca="false">IF($J306="","",$J306*Config!$B$5)</f>
        <v/>
      </c>
      <c r="L306" s="28"/>
      <c r="M306" s="27"/>
      <c r="N306" s="28"/>
      <c r="O306" s="29" t="str">
        <f aca="false">IF($M306="","",$M306*Config!$B$6)</f>
        <v/>
      </c>
      <c r="P306" s="28"/>
      <c r="Q306" s="28"/>
      <c r="R306" s="30" t="str">
        <f aca="false">IF($J306="","",$J306-$K306+SUM($L306)-SUM($N306:$Q306))</f>
        <v/>
      </c>
      <c r="S306" s="30" t="str">
        <f aca="false">IF(OR($R306="",$H306="",$H306=0),"",$R306/$H306)</f>
        <v/>
      </c>
      <c r="T306" s="29" t="str">
        <f aca="false">IF(OR($R306="",$M306="",$M306=0),"",$R306/$M306)</f>
        <v/>
      </c>
      <c r="U306" s="26" t="str">
        <f aca="false">IF(OR($H306="",$H306=0,$I306=""),"",$I306/$H306)</f>
        <v/>
      </c>
      <c r="V306" s="24"/>
    </row>
    <row r="307" customFormat="false" ht="15" hidden="false" customHeight="false" outlineLevel="0" collapsed="false">
      <c r="A307" s="21"/>
      <c r="B307" s="22" t="str">
        <f aca="false">IF($A307="","",INDEX(Config!$F$2:$F$8,WEEKDAY($A307,2)))</f>
        <v/>
      </c>
      <c r="C307" s="23" t="str">
        <f aca="false">IF($A307="","",EOMONTH($A307,0))</f>
        <v/>
      </c>
      <c r="D307" s="24"/>
      <c r="E307" s="24"/>
      <c r="F307" s="25"/>
      <c r="G307" s="25"/>
      <c r="H307" s="26" t="str">
        <f aca="false">IF(OR($F307="",$G307=""),"",($G307-$F307+IF($G307&lt;$F307,1,0))*24)</f>
        <v/>
      </c>
      <c r="I307" s="27"/>
      <c r="J307" s="28"/>
      <c r="K307" s="29" t="str">
        <f aca="false">IF($J307="","",$J307*Config!$B$5)</f>
        <v/>
      </c>
      <c r="L307" s="28"/>
      <c r="M307" s="27"/>
      <c r="N307" s="28"/>
      <c r="O307" s="29" t="str">
        <f aca="false">IF($M307="","",$M307*Config!$B$6)</f>
        <v/>
      </c>
      <c r="P307" s="28"/>
      <c r="Q307" s="28"/>
      <c r="R307" s="30" t="str">
        <f aca="false">IF($J307="","",$J307-$K307+SUM($L307)-SUM($N307:$Q307))</f>
        <v/>
      </c>
      <c r="S307" s="30" t="str">
        <f aca="false">IF(OR($R307="",$H307="",$H307=0),"",$R307/$H307)</f>
        <v/>
      </c>
      <c r="T307" s="29" t="str">
        <f aca="false">IF(OR($R307="",$M307="",$M307=0),"",$R307/$M307)</f>
        <v/>
      </c>
      <c r="U307" s="26" t="str">
        <f aca="false">IF(OR($H307="",$H307=0,$I307=""),"",$I307/$H307)</f>
        <v/>
      </c>
      <c r="V307" s="24"/>
    </row>
    <row r="308" customFormat="false" ht="15" hidden="false" customHeight="false" outlineLevel="0" collapsed="false">
      <c r="A308" s="21"/>
      <c r="B308" s="22" t="str">
        <f aca="false">IF($A308="","",INDEX(Config!$F$2:$F$8,WEEKDAY($A308,2)))</f>
        <v/>
      </c>
      <c r="C308" s="23" t="str">
        <f aca="false">IF($A308="","",EOMONTH($A308,0))</f>
        <v/>
      </c>
      <c r="D308" s="24"/>
      <c r="E308" s="24"/>
      <c r="F308" s="25"/>
      <c r="G308" s="25"/>
      <c r="H308" s="26" t="str">
        <f aca="false">IF(OR($F308="",$G308=""),"",($G308-$F308+IF($G308&lt;$F308,1,0))*24)</f>
        <v/>
      </c>
      <c r="I308" s="27"/>
      <c r="J308" s="28"/>
      <c r="K308" s="29" t="str">
        <f aca="false">IF($J308="","",$J308*Config!$B$5)</f>
        <v/>
      </c>
      <c r="L308" s="28"/>
      <c r="M308" s="27"/>
      <c r="N308" s="28"/>
      <c r="O308" s="29" t="str">
        <f aca="false">IF($M308="","",$M308*Config!$B$6)</f>
        <v/>
      </c>
      <c r="P308" s="28"/>
      <c r="Q308" s="28"/>
      <c r="R308" s="30" t="str">
        <f aca="false">IF($J308="","",$J308-$K308+SUM($L308)-SUM($N308:$Q308))</f>
        <v/>
      </c>
      <c r="S308" s="30" t="str">
        <f aca="false">IF(OR($R308="",$H308="",$H308=0),"",$R308/$H308)</f>
        <v/>
      </c>
      <c r="T308" s="29" t="str">
        <f aca="false">IF(OR($R308="",$M308="",$M308=0),"",$R308/$M308)</f>
        <v/>
      </c>
      <c r="U308" s="26" t="str">
        <f aca="false">IF(OR($H308="",$H308=0,$I308=""),"",$I308/$H308)</f>
        <v/>
      </c>
      <c r="V308" s="24"/>
    </row>
    <row r="309" customFormat="false" ht="15" hidden="false" customHeight="false" outlineLevel="0" collapsed="false">
      <c r="A309" s="21"/>
      <c r="B309" s="22" t="str">
        <f aca="false">IF($A309="","",INDEX(Config!$F$2:$F$8,WEEKDAY($A309,2)))</f>
        <v/>
      </c>
      <c r="C309" s="23" t="str">
        <f aca="false">IF($A309="","",EOMONTH($A309,0))</f>
        <v/>
      </c>
      <c r="D309" s="24"/>
      <c r="E309" s="24"/>
      <c r="F309" s="25"/>
      <c r="G309" s="25"/>
      <c r="H309" s="26" t="str">
        <f aca="false">IF(OR($F309="",$G309=""),"",($G309-$F309+IF($G309&lt;$F309,1,0))*24)</f>
        <v/>
      </c>
      <c r="I309" s="27"/>
      <c r="J309" s="28"/>
      <c r="K309" s="29" t="str">
        <f aca="false">IF($J309="","",$J309*Config!$B$5)</f>
        <v/>
      </c>
      <c r="L309" s="28"/>
      <c r="M309" s="27"/>
      <c r="N309" s="28"/>
      <c r="O309" s="29" t="str">
        <f aca="false">IF($M309="","",$M309*Config!$B$6)</f>
        <v/>
      </c>
      <c r="P309" s="28"/>
      <c r="Q309" s="28"/>
      <c r="R309" s="30" t="str">
        <f aca="false">IF($J309="","",$J309-$K309+SUM($L309)-SUM($N309:$Q309))</f>
        <v/>
      </c>
      <c r="S309" s="30" t="str">
        <f aca="false">IF(OR($R309="",$H309="",$H309=0),"",$R309/$H309)</f>
        <v/>
      </c>
      <c r="T309" s="29" t="str">
        <f aca="false">IF(OR($R309="",$M309="",$M309=0),"",$R309/$M309)</f>
        <v/>
      </c>
      <c r="U309" s="26" t="str">
        <f aca="false">IF(OR($H309="",$H309=0,$I309=""),"",$I309/$H309)</f>
        <v/>
      </c>
      <c r="V309" s="24"/>
    </row>
    <row r="310" customFormat="false" ht="15" hidden="false" customHeight="false" outlineLevel="0" collapsed="false">
      <c r="A310" s="21"/>
      <c r="B310" s="22" t="str">
        <f aca="false">IF($A310="","",INDEX(Config!$F$2:$F$8,WEEKDAY($A310,2)))</f>
        <v/>
      </c>
      <c r="C310" s="23" t="str">
        <f aca="false">IF($A310="","",EOMONTH($A310,0))</f>
        <v/>
      </c>
      <c r="D310" s="24"/>
      <c r="E310" s="24"/>
      <c r="F310" s="25"/>
      <c r="G310" s="25"/>
      <c r="H310" s="26" t="str">
        <f aca="false">IF(OR($F310="",$G310=""),"",($G310-$F310+IF($G310&lt;$F310,1,0))*24)</f>
        <v/>
      </c>
      <c r="I310" s="27"/>
      <c r="J310" s="28"/>
      <c r="K310" s="29" t="str">
        <f aca="false">IF($J310="","",$J310*Config!$B$5)</f>
        <v/>
      </c>
      <c r="L310" s="28"/>
      <c r="M310" s="27"/>
      <c r="N310" s="28"/>
      <c r="O310" s="29" t="str">
        <f aca="false">IF($M310="","",$M310*Config!$B$6)</f>
        <v/>
      </c>
      <c r="P310" s="28"/>
      <c r="Q310" s="28"/>
      <c r="R310" s="30" t="str">
        <f aca="false">IF($J310="","",$J310-$K310+SUM($L310)-SUM($N310:$Q310))</f>
        <v/>
      </c>
      <c r="S310" s="30" t="str">
        <f aca="false">IF(OR($R310="",$H310="",$H310=0),"",$R310/$H310)</f>
        <v/>
      </c>
      <c r="T310" s="29" t="str">
        <f aca="false">IF(OR($R310="",$M310="",$M310=0),"",$R310/$M310)</f>
        <v/>
      </c>
      <c r="U310" s="26" t="str">
        <f aca="false">IF(OR($H310="",$H310=0,$I310=""),"",$I310/$H310)</f>
        <v/>
      </c>
      <c r="V310" s="24"/>
    </row>
    <row r="311" customFormat="false" ht="15" hidden="false" customHeight="false" outlineLevel="0" collapsed="false">
      <c r="A311" s="21"/>
      <c r="B311" s="22" t="str">
        <f aca="false">IF($A311="","",INDEX(Config!$F$2:$F$8,WEEKDAY($A311,2)))</f>
        <v/>
      </c>
      <c r="C311" s="23" t="str">
        <f aca="false">IF($A311="","",EOMONTH($A311,0))</f>
        <v/>
      </c>
      <c r="D311" s="24"/>
      <c r="E311" s="24"/>
      <c r="F311" s="25"/>
      <c r="G311" s="25"/>
      <c r="H311" s="26" t="str">
        <f aca="false">IF(OR($F311="",$G311=""),"",($G311-$F311+IF($G311&lt;$F311,1,0))*24)</f>
        <v/>
      </c>
      <c r="I311" s="27"/>
      <c r="J311" s="28"/>
      <c r="K311" s="29" t="str">
        <f aca="false">IF($J311="","",$J311*Config!$B$5)</f>
        <v/>
      </c>
      <c r="L311" s="28"/>
      <c r="M311" s="27"/>
      <c r="N311" s="28"/>
      <c r="O311" s="29" t="str">
        <f aca="false">IF($M311="","",$M311*Config!$B$6)</f>
        <v/>
      </c>
      <c r="P311" s="28"/>
      <c r="Q311" s="28"/>
      <c r="R311" s="30" t="str">
        <f aca="false">IF($J311="","",$J311-$K311+SUM($L311)-SUM($N311:$Q311))</f>
        <v/>
      </c>
      <c r="S311" s="30" t="str">
        <f aca="false">IF(OR($R311="",$H311="",$H311=0),"",$R311/$H311)</f>
        <v/>
      </c>
      <c r="T311" s="29" t="str">
        <f aca="false">IF(OR($R311="",$M311="",$M311=0),"",$R311/$M311)</f>
        <v/>
      </c>
      <c r="U311" s="26" t="str">
        <f aca="false">IF(OR($H311="",$H311=0,$I311=""),"",$I311/$H311)</f>
        <v/>
      </c>
      <c r="V311" s="24"/>
    </row>
    <row r="312" customFormat="false" ht="15" hidden="false" customHeight="false" outlineLevel="0" collapsed="false">
      <c r="A312" s="21"/>
      <c r="B312" s="22" t="str">
        <f aca="false">IF($A312="","",INDEX(Config!$F$2:$F$8,WEEKDAY($A312,2)))</f>
        <v/>
      </c>
      <c r="C312" s="23" t="str">
        <f aca="false">IF($A312="","",EOMONTH($A312,0))</f>
        <v/>
      </c>
      <c r="D312" s="24"/>
      <c r="E312" s="24"/>
      <c r="F312" s="25"/>
      <c r="G312" s="25"/>
      <c r="H312" s="26" t="str">
        <f aca="false">IF(OR($F312="",$G312=""),"",($G312-$F312+IF($G312&lt;$F312,1,0))*24)</f>
        <v/>
      </c>
      <c r="I312" s="27"/>
      <c r="J312" s="28"/>
      <c r="K312" s="29" t="str">
        <f aca="false">IF($J312="","",$J312*Config!$B$5)</f>
        <v/>
      </c>
      <c r="L312" s="28"/>
      <c r="M312" s="27"/>
      <c r="N312" s="28"/>
      <c r="O312" s="29" t="str">
        <f aca="false">IF($M312="","",$M312*Config!$B$6)</f>
        <v/>
      </c>
      <c r="P312" s="28"/>
      <c r="Q312" s="28"/>
      <c r="R312" s="30" t="str">
        <f aca="false">IF($J312="","",$J312-$K312+SUM($L312)-SUM($N312:$Q312))</f>
        <v/>
      </c>
      <c r="S312" s="30" t="str">
        <f aca="false">IF(OR($R312="",$H312="",$H312=0),"",$R312/$H312)</f>
        <v/>
      </c>
      <c r="T312" s="29" t="str">
        <f aca="false">IF(OR($R312="",$M312="",$M312=0),"",$R312/$M312)</f>
        <v/>
      </c>
      <c r="U312" s="26" t="str">
        <f aca="false">IF(OR($H312="",$H312=0,$I312=""),"",$I312/$H312)</f>
        <v/>
      </c>
      <c r="V312" s="24"/>
    </row>
    <row r="313" customFormat="false" ht="15" hidden="false" customHeight="false" outlineLevel="0" collapsed="false">
      <c r="A313" s="21"/>
      <c r="B313" s="22" t="str">
        <f aca="false">IF($A313="","",INDEX(Config!$F$2:$F$8,WEEKDAY($A313,2)))</f>
        <v/>
      </c>
      <c r="C313" s="23" t="str">
        <f aca="false">IF($A313="","",EOMONTH($A313,0))</f>
        <v/>
      </c>
      <c r="D313" s="24"/>
      <c r="E313" s="24"/>
      <c r="F313" s="25"/>
      <c r="G313" s="25"/>
      <c r="H313" s="26" t="str">
        <f aca="false">IF(OR($F313="",$G313=""),"",($G313-$F313+IF($G313&lt;$F313,1,0))*24)</f>
        <v/>
      </c>
      <c r="I313" s="27"/>
      <c r="J313" s="28"/>
      <c r="K313" s="29" t="str">
        <f aca="false">IF($J313="","",$J313*Config!$B$5)</f>
        <v/>
      </c>
      <c r="L313" s="28"/>
      <c r="M313" s="27"/>
      <c r="N313" s="28"/>
      <c r="O313" s="29" t="str">
        <f aca="false">IF($M313="","",$M313*Config!$B$6)</f>
        <v/>
      </c>
      <c r="P313" s="28"/>
      <c r="Q313" s="28"/>
      <c r="R313" s="30" t="str">
        <f aca="false">IF($J313="","",$J313-$K313+SUM($L313)-SUM($N313:$Q313))</f>
        <v/>
      </c>
      <c r="S313" s="30" t="str">
        <f aca="false">IF(OR($R313="",$H313="",$H313=0),"",$R313/$H313)</f>
        <v/>
      </c>
      <c r="T313" s="29" t="str">
        <f aca="false">IF(OR($R313="",$M313="",$M313=0),"",$R313/$M313)</f>
        <v/>
      </c>
      <c r="U313" s="26" t="str">
        <f aca="false">IF(OR($H313="",$H313=0,$I313=""),"",$I313/$H313)</f>
        <v/>
      </c>
      <c r="V313" s="24"/>
    </row>
    <row r="314" customFormat="false" ht="15" hidden="false" customHeight="false" outlineLevel="0" collapsed="false">
      <c r="A314" s="21"/>
      <c r="B314" s="22" t="str">
        <f aca="false">IF($A314="","",INDEX(Config!$F$2:$F$8,WEEKDAY($A314,2)))</f>
        <v/>
      </c>
      <c r="C314" s="23" t="str">
        <f aca="false">IF($A314="","",EOMONTH($A314,0))</f>
        <v/>
      </c>
      <c r="D314" s="24"/>
      <c r="E314" s="24"/>
      <c r="F314" s="25"/>
      <c r="G314" s="25"/>
      <c r="H314" s="26" t="str">
        <f aca="false">IF(OR($F314="",$G314=""),"",($G314-$F314+IF($G314&lt;$F314,1,0))*24)</f>
        <v/>
      </c>
      <c r="I314" s="27"/>
      <c r="J314" s="28"/>
      <c r="K314" s="29" t="str">
        <f aca="false">IF($J314="","",$J314*Config!$B$5)</f>
        <v/>
      </c>
      <c r="L314" s="28"/>
      <c r="M314" s="27"/>
      <c r="N314" s="28"/>
      <c r="O314" s="29" t="str">
        <f aca="false">IF($M314="","",$M314*Config!$B$6)</f>
        <v/>
      </c>
      <c r="P314" s="28"/>
      <c r="Q314" s="28"/>
      <c r="R314" s="30" t="str">
        <f aca="false">IF($J314="","",$J314-$K314+SUM($L314)-SUM($N314:$Q314))</f>
        <v/>
      </c>
      <c r="S314" s="30" t="str">
        <f aca="false">IF(OR($R314="",$H314="",$H314=0),"",$R314/$H314)</f>
        <v/>
      </c>
      <c r="T314" s="29" t="str">
        <f aca="false">IF(OR($R314="",$M314="",$M314=0),"",$R314/$M314)</f>
        <v/>
      </c>
      <c r="U314" s="26" t="str">
        <f aca="false">IF(OR($H314="",$H314=0,$I314=""),"",$I314/$H314)</f>
        <v/>
      </c>
      <c r="V314" s="24"/>
    </row>
    <row r="315" customFormat="false" ht="15" hidden="false" customHeight="false" outlineLevel="0" collapsed="false">
      <c r="A315" s="21"/>
      <c r="B315" s="22" t="str">
        <f aca="false">IF($A315="","",INDEX(Config!$F$2:$F$8,WEEKDAY($A315,2)))</f>
        <v/>
      </c>
      <c r="C315" s="23" t="str">
        <f aca="false">IF($A315="","",EOMONTH($A315,0))</f>
        <v/>
      </c>
      <c r="D315" s="24"/>
      <c r="E315" s="24"/>
      <c r="F315" s="25"/>
      <c r="G315" s="25"/>
      <c r="H315" s="26" t="str">
        <f aca="false">IF(OR($F315="",$G315=""),"",($G315-$F315+IF($G315&lt;$F315,1,0))*24)</f>
        <v/>
      </c>
      <c r="I315" s="27"/>
      <c r="J315" s="28"/>
      <c r="K315" s="29" t="str">
        <f aca="false">IF($J315="","",$J315*Config!$B$5)</f>
        <v/>
      </c>
      <c r="L315" s="28"/>
      <c r="M315" s="27"/>
      <c r="N315" s="28"/>
      <c r="O315" s="29" t="str">
        <f aca="false">IF($M315="","",$M315*Config!$B$6)</f>
        <v/>
      </c>
      <c r="P315" s="28"/>
      <c r="Q315" s="28"/>
      <c r="R315" s="30" t="str">
        <f aca="false">IF($J315="","",$J315-$K315+SUM($L315)-SUM($N315:$Q315))</f>
        <v/>
      </c>
      <c r="S315" s="30" t="str">
        <f aca="false">IF(OR($R315="",$H315="",$H315=0),"",$R315/$H315)</f>
        <v/>
      </c>
      <c r="T315" s="29" t="str">
        <f aca="false">IF(OR($R315="",$M315="",$M315=0),"",$R315/$M315)</f>
        <v/>
      </c>
      <c r="U315" s="26" t="str">
        <f aca="false">IF(OR($H315="",$H315=0,$I315=""),"",$I315/$H315)</f>
        <v/>
      </c>
      <c r="V315" s="24"/>
    </row>
    <row r="316" customFormat="false" ht="15" hidden="false" customHeight="false" outlineLevel="0" collapsed="false">
      <c r="A316" s="21"/>
      <c r="B316" s="22" t="str">
        <f aca="false">IF($A316="","",INDEX(Config!$F$2:$F$8,WEEKDAY($A316,2)))</f>
        <v/>
      </c>
      <c r="C316" s="23" t="str">
        <f aca="false">IF($A316="","",EOMONTH($A316,0))</f>
        <v/>
      </c>
      <c r="D316" s="24"/>
      <c r="E316" s="24"/>
      <c r="F316" s="25"/>
      <c r="G316" s="25"/>
      <c r="H316" s="26" t="str">
        <f aca="false">IF(OR($F316="",$G316=""),"",($G316-$F316+IF($G316&lt;$F316,1,0))*24)</f>
        <v/>
      </c>
      <c r="I316" s="27"/>
      <c r="J316" s="28"/>
      <c r="K316" s="29" t="str">
        <f aca="false">IF($J316="","",$J316*Config!$B$5)</f>
        <v/>
      </c>
      <c r="L316" s="28"/>
      <c r="M316" s="27"/>
      <c r="N316" s="28"/>
      <c r="O316" s="29" t="str">
        <f aca="false">IF($M316="","",$M316*Config!$B$6)</f>
        <v/>
      </c>
      <c r="P316" s="28"/>
      <c r="Q316" s="28"/>
      <c r="R316" s="30" t="str">
        <f aca="false">IF($J316="","",$J316-$K316+SUM($L316)-SUM($N316:$Q316))</f>
        <v/>
      </c>
      <c r="S316" s="30" t="str">
        <f aca="false">IF(OR($R316="",$H316="",$H316=0),"",$R316/$H316)</f>
        <v/>
      </c>
      <c r="T316" s="29" t="str">
        <f aca="false">IF(OR($R316="",$M316="",$M316=0),"",$R316/$M316)</f>
        <v/>
      </c>
      <c r="U316" s="26" t="str">
        <f aca="false">IF(OR($H316="",$H316=0,$I316=""),"",$I316/$H316)</f>
        <v/>
      </c>
      <c r="V316" s="24"/>
    </row>
    <row r="317" customFormat="false" ht="15" hidden="false" customHeight="false" outlineLevel="0" collapsed="false">
      <c r="A317" s="21"/>
      <c r="B317" s="22" t="str">
        <f aca="false">IF($A317="","",INDEX(Config!$F$2:$F$8,WEEKDAY($A317,2)))</f>
        <v/>
      </c>
      <c r="C317" s="23" t="str">
        <f aca="false">IF($A317="","",EOMONTH($A317,0))</f>
        <v/>
      </c>
      <c r="D317" s="24"/>
      <c r="E317" s="24"/>
      <c r="F317" s="25"/>
      <c r="G317" s="25"/>
      <c r="H317" s="26" t="str">
        <f aca="false">IF(OR($F317="",$G317=""),"",($G317-$F317+IF($G317&lt;$F317,1,0))*24)</f>
        <v/>
      </c>
      <c r="I317" s="27"/>
      <c r="J317" s="28"/>
      <c r="K317" s="29" t="str">
        <f aca="false">IF($J317="","",$J317*Config!$B$5)</f>
        <v/>
      </c>
      <c r="L317" s="28"/>
      <c r="M317" s="27"/>
      <c r="N317" s="28"/>
      <c r="O317" s="29" t="str">
        <f aca="false">IF($M317="","",$M317*Config!$B$6)</f>
        <v/>
      </c>
      <c r="P317" s="28"/>
      <c r="Q317" s="28"/>
      <c r="R317" s="30" t="str">
        <f aca="false">IF($J317="","",$J317-$K317+SUM($L317)-SUM($N317:$Q317))</f>
        <v/>
      </c>
      <c r="S317" s="30" t="str">
        <f aca="false">IF(OR($R317="",$H317="",$H317=0),"",$R317/$H317)</f>
        <v/>
      </c>
      <c r="T317" s="29" t="str">
        <f aca="false">IF(OR($R317="",$M317="",$M317=0),"",$R317/$M317)</f>
        <v/>
      </c>
      <c r="U317" s="26" t="str">
        <f aca="false">IF(OR($H317="",$H317=0,$I317=""),"",$I317/$H317)</f>
        <v/>
      </c>
      <c r="V317" s="24"/>
    </row>
    <row r="318" customFormat="false" ht="15" hidden="false" customHeight="false" outlineLevel="0" collapsed="false">
      <c r="A318" s="21"/>
      <c r="B318" s="22" t="str">
        <f aca="false">IF($A318="","",INDEX(Config!$F$2:$F$8,WEEKDAY($A318,2)))</f>
        <v/>
      </c>
      <c r="C318" s="23" t="str">
        <f aca="false">IF($A318="","",EOMONTH($A318,0))</f>
        <v/>
      </c>
      <c r="D318" s="24"/>
      <c r="E318" s="24"/>
      <c r="F318" s="25"/>
      <c r="G318" s="25"/>
      <c r="H318" s="26" t="str">
        <f aca="false">IF(OR($F318="",$G318=""),"",($G318-$F318+IF($G318&lt;$F318,1,0))*24)</f>
        <v/>
      </c>
      <c r="I318" s="27"/>
      <c r="J318" s="28"/>
      <c r="K318" s="29" t="str">
        <f aca="false">IF($J318="","",$J318*Config!$B$5)</f>
        <v/>
      </c>
      <c r="L318" s="28"/>
      <c r="M318" s="27"/>
      <c r="N318" s="28"/>
      <c r="O318" s="29" t="str">
        <f aca="false">IF($M318="","",$M318*Config!$B$6)</f>
        <v/>
      </c>
      <c r="P318" s="28"/>
      <c r="Q318" s="28"/>
      <c r="R318" s="30" t="str">
        <f aca="false">IF($J318="","",$J318-$K318+SUM($L318)-SUM($N318:$Q318))</f>
        <v/>
      </c>
      <c r="S318" s="30" t="str">
        <f aca="false">IF(OR($R318="",$H318="",$H318=0),"",$R318/$H318)</f>
        <v/>
      </c>
      <c r="T318" s="29" t="str">
        <f aca="false">IF(OR($R318="",$M318="",$M318=0),"",$R318/$M318)</f>
        <v/>
      </c>
      <c r="U318" s="26" t="str">
        <f aca="false">IF(OR($H318="",$H318=0,$I318=""),"",$I318/$H318)</f>
        <v/>
      </c>
      <c r="V318" s="24"/>
    </row>
    <row r="319" customFormat="false" ht="15" hidden="false" customHeight="false" outlineLevel="0" collapsed="false">
      <c r="A319" s="21"/>
      <c r="B319" s="22" t="str">
        <f aca="false">IF($A319="","",INDEX(Config!$F$2:$F$8,WEEKDAY($A319,2)))</f>
        <v/>
      </c>
      <c r="C319" s="23" t="str">
        <f aca="false">IF($A319="","",EOMONTH($A319,0))</f>
        <v/>
      </c>
      <c r="D319" s="24"/>
      <c r="E319" s="24"/>
      <c r="F319" s="25"/>
      <c r="G319" s="25"/>
      <c r="H319" s="26" t="str">
        <f aca="false">IF(OR($F319="",$G319=""),"",($G319-$F319+IF($G319&lt;$F319,1,0))*24)</f>
        <v/>
      </c>
      <c r="I319" s="27"/>
      <c r="J319" s="28"/>
      <c r="K319" s="29" t="str">
        <f aca="false">IF($J319="","",$J319*Config!$B$5)</f>
        <v/>
      </c>
      <c r="L319" s="28"/>
      <c r="M319" s="27"/>
      <c r="N319" s="28"/>
      <c r="O319" s="29" t="str">
        <f aca="false">IF($M319="","",$M319*Config!$B$6)</f>
        <v/>
      </c>
      <c r="P319" s="28"/>
      <c r="Q319" s="28"/>
      <c r="R319" s="30" t="str">
        <f aca="false">IF($J319="","",$J319-$K319+SUM($L319)-SUM($N319:$Q319))</f>
        <v/>
      </c>
      <c r="S319" s="30" t="str">
        <f aca="false">IF(OR($R319="",$H319="",$H319=0),"",$R319/$H319)</f>
        <v/>
      </c>
      <c r="T319" s="29" t="str">
        <f aca="false">IF(OR($R319="",$M319="",$M319=0),"",$R319/$M319)</f>
        <v/>
      </c>
      <c r="U319" s="26" t="str">
        <f aca="false">IF(OR($H319="",$H319=0,$I319=""),"",$I319/$H319)</f>
        <v/>
      </c>
      <c r="V319" s="24"/>
    </row>
    <row r="320" customFormat="false" ht="15" hidden="false" customHeight="false" outlineLevel="0" collapsed="false">
      <c r="A320" s="21"/>
      <c r="B320" s="22" t="str">
        <f aca="false">IF($A320="","",INDEX(Config!$F$2:$F$8,WEEKDAY($A320,2)))</f>
        <v/>
      </c>
      <c r="C320" s="23" t="str">
        <f aca="false">IF($A320="","",EOMONTH($A320,0))</f>
        <v/>
      </c>
      <c r="D320" s="24"/>
      <c r="E320" s="24"/>
      <c r="F320" s="25"/>
      <c r="G320" s="25"/>
      <c r="H320" s="26" t="str">
        <f aca="false">IF(OR($F320="",$G320=""),"",($G320-$F320+IF($G320&lt;$F320,1,0))*24)</f>
        <v/>
      </c>
      <c r="I320" s="27"/>
      <c r="J320" s="28"/>
      <c r="K320" s="29" t="str">
        <f aca="false">IF($J320="","",$J320*Config!$B$5)</f>
        <v/>
      </c>
      <c r="L320" s="28"/>
      <c r="M320" s="27"/>
      <c r="N320" s="28"/>
      <c r="O320" s="29" t="str">
        <f aca="false">IF($M320="","",$M320*Config!$B$6)</f>
        <v/>
      </c>
      <c r="P320" s="28"/>
      <c r="Q320" s="28"/>
      <c r="R320" s="30" t="str">
        <f aca="false">IF($J320="","",$J320-$K320+SUM($L320)-SUM($N320:$Q320))</f>
        <v/>
      </c>
      <c r="S320" s="30" t="str">
        <f aca="false">IF(OR($R320="",$H320="",$H320=0),"",$R320/$H320)</f>
        <v/>
      </c>
      <c r="T320" s="29" t="str">
        <f aca="false">IF(OR($R320="",$M320="",$M320=0),"",$R320/$M320)</f>
        <v/>
      </c>
      <c r="U320" s="26" t="str">
        <f aca="false">IF(OR($H320="",$H320=0,$I320=""),"",$I320/$H320)</f>
        <v/>
      </c>
      <c r="V320" s="24"/>
    </row>
    <row r="321" customFormat="false" ht="15" hidden="false" customHeight="false" outlineLevel="0" collapsed="false">
      <c r="A321" s="21"/>
      <c r="B321" s="22" t="str">
        <f aca="false">IF($A321="","",INDEX(Config!$F$2:$F$8,WEEKDAY($A321,2)))</f>
        <v/>
      </c>
      <c r="C321" s="23" t="str">
        <f aca="false">IF($A321="","",EOMONTH($A321,0))</f>
        <v/>
      </c>
      <c r="D321" s="24"/>
      <c r="E321" s="24"/>
      <c r="F321" s="25"/>
      <c r="G321" s="25"/>
      <c r="H321" s="26" t="str">
        <f aca="false">IF(OR($F321="",$G321=""),"",($G321-$F321+IF($G321&lt;$F321,1,0))*24)</f>
        <v/>
      </c>
      <c r="I321" s="27"/>
      <c r="J321" s="28"/>
      <c r="K321" s="29" t="str">
        <f aca="false">IF($J321="","",$J321*Config!$B$5)</f>
        <v/>
      </c>
      <c r="L321" s="28"/>
      <c r="M321" s="27"/>
      <c r="N321" s="28"/>
      <c r="O321" s="29" t="str">
        <f aca="false">IF($M321="","",$M321*Config!$B$6)</f>
        <v/>
      </c>
      <c r="P321" s="28"/>
      <c r="Q321" s="28"/>
      <c r="R321" s="30" t="str">
        <f aca="false">IF($J321="","",$J321-$K321+SUM($L321)-SUM($N321:$Q321))</f>
        <v/>
      </c>
      <c r="S321" s="30" t="str">
        <f aca="false">IF(OR($R321="",$H321="",$H321=0),"",$R321/$H321)</f>
        <v/>
      </c>
      <c r="T321" s="29" t="str">
        <f aca="false">IF(OR($R321="",$M321="",$M321=0),"",$R321/$M321)</f>
        <v/>
      </c>
      <c r="U321" s="26" t="str">
        <f aca="false">IF(OR($H321="",$H321=0,$I321=""),"",$I321/$H321)</f>
        <v/>
      </c>
      <c r="V321" s="24"/>
    </row>
    <row r="322" customFormat="false" ht="15" hidden="false" customHeight="false" outlineLevel="0" collapsed="false">
      <c r="A322" s="21"/>
      <c r="B322" s="22" t="str">
        <f aca="false">IF($A322="","",INDEX(Config!$F$2:$F$8,WEEKDAY($A322,2)))</f>
        <v/>
      </c>
      <c r="C322" s="23" t="str">
        <f aca="false">IF($A322="","",EOMONTH($A322,0))</f>
        <v/>
      </c>
      <c r="D322" s="24"/>
      <c r="E322" s="24"/>
      <c r="F322" s="25"/>
      <c r="G322" s="25"/>
      <c r="H322" s="26" t="str">
        <f aca="false">IF(OR($F322="",$G322=""),"",($G322-$F322+IF($G322&lt;$F322,1,0))*24)</f>
        <v/>
      </c>
      <c r="I322" s="27"/>
      <c r="J322" s="28"/>
      <c r="K322" s="29" t="str">
        <f aca="false">IF($J322="","",$J322*Config!$B$5)</f>
        <v/>
      </c>
      <c r="L322" s="28"/>
      <c r="M322" s="27"/>
      <c r="N322" s="28"/>
      <c r="O322" s="29" t="str">
        <f aca="false">IF($M322="","",$M322*Config!$B$6)</f>
        <v/>
      </c>
      <c r="P322" s="28"/>
      <c r="Q322" s="28"/>
      <c r="R322" s="30" t="str">
        <f aca="false">IF($J322="","",$J322-$K322+SUM($L322)-SUM($N322:$Q322))</f>
        <v/>
      </c>
      <c r="S322" s="30" t="str">
        <f aca="false">IF(OR($R322="",$H322="",$H322=0),"",$R322/$H322)</f>
        <v/>
      </c>
      <c r="T322" s="29" t="str">
        <f aca="false">IF(OR($R322="",$M322="",$M322=0),"",$R322/$M322)</f>
        <v/>
      </c>
      <c r="U322" s="26" t="str">
        <f aca="false">IF(OR($H322="",$H322=0,$I322=""),"",$I322/$H322)</f>
        <v/>
      </c>
      <c r="V322" s="24"/>
    </row>
    <row r="323" customFormat="false" ht="15" hidden="false" customHeight="false" outlineLevel="0" collapsed="false">
      <c r="A323" s="21"/>
      <c r="B323" s="22" t="str">
        <f aca="false">IF($A323="","",INDEX(Config!$F$2:$F$8,WEEKDAY($A323,2)))</f>
        <v/>
      </c>
      <c r="C323" s="23" t="str">
        <f aca="false">IF($A323="","",EOMONTH($A323,0))</f>
        <v/>
      </c>
      <c r="D323" s="24"/>
      <c r="E323" s="24"/>
      <c r="F323" s="25"/>
      <c r="G323" s="25"/>
      <c r="H323" s="26" t="str">
        <f aca="false">IF(OR($F323="",$G323=""),"",($G323-$F323+IF($G323&lt;$F323,1,0))*24)</f>
        <v/>
      </c>
      <c r="I323" s="27"/>
      <c r="J323" s="28"/>
      <c r="K323" s="29" t="str">
        <f aca="false">IF($J323="","",$J323*Config!$B$5)</f>
        <v/>
      </c>
      <c r="L323" s="28"/>
      <c r="M323" s="27"/>
      <c r="N323" s="28"/>
      <c r="O323" s="29" t="str">
        <f aca="false">IF($M323="","",$M323*Config!$B$6)</f>
        <v/>
      </c>
      <c r="P323" s="28"/>
      <c r="Q323" s="28"/>
      <c r="R323" s="30" t="str">
        <f aca="false">IF($J323="","",$J323-$K323+SUM($L323)-SUM($N323:$Q323))</f>
        <v/>
      </c>
      <c r="S323" s="30" t="str">
        <f aca="false">IF(OR($R323="",$H323="",$H323=0),"",$R323/$H323)</f>
        <v/>
      </c>
      <c r="T323" s="29" t="str">
        <f aca="false">IF(OR($R323="",$M323="",$M323=0),"",$R323/$M323)</f>
        <v/>
      </c>
      <c r="U323" s="26" t="str">
        <f aca="false">IF(OR($H323="",$H323=0,$I323=""),"",$I323/$H323)</f>
        <v/>
      </c>
      <c r="V323" s="24"/>
    </row>
    <row r="324" customFormat="false" ht="15" hidden="false" customHeight="false" outlineLevel="0" collapsed="false">
      <c r="A324" s="21"/>
      <c r="B324" s="22" t="str">
        <f aca="false">IF($A324="","",INDEX(Config!$F$2:$F$8,WEEKDAY($A324,2)))</f>
        <v/>
      </c>
      <c r="C324" s="23" t="str">
        <f aca="false">IF($A324="","",EOMONTH($A324,0))</f>
        <v/>
      </c>
      <c r="D324" s="24"/>
      <c r="E324" s="24"/>
      <c r="F324" s="25"/>
      <c r="G324" s="25"/>
      <c r="H324" s="26" t="str">
        <f aca="false">IF(OR($F324="",$G324=""),"",($G324-$F324+IF($G324&lt;$F324,1,0))*24)</f>
        <v/>
      </c>
      <c r="I324" s="27"/>
      <c r="J324" s="28"/>
      <c r="K324" s="29" t="str">
        <f aca="false">IF($J324="","",$J324*Config!$B$5)</f>
        <v/>
      </c>
      <c r="L324" s="28"/>
      <c r="M324" s="27"/>
      <c r="N324" s="28"/>
      <c r="O324" s="29" t="str">
        <f aca="false">IF($M324="","",$M324*Config!$B$6)</f>
        <v/>
      </c>
      <c r="P324" s="28"/>
      <c r="Q324" s="28"/>
      <c r="R324" s="30" t="str">
        <f aca="false">IF($J324="","",$J324-$K324+SUM($L324)-SUM($N324:$Q324))</f>
        <v/>
      </c>
      <c r="S324" s="30" t="str">
        <f aca="false">IF(OR($R324="",$H324="",$H324=0),"",$R324/$H324)</f>
        <v/>
      </c>
      <c r="T324" s="29" t="str">
        <f aca="false">IF(OR($R324="",$M324="",$M324=0),"",$R324/$M324)</f>
        <v/>
      </c>
      <c r="U324" s="26" t="str">
        <f aca="false">IF(OR($H324="",$H324=0,$I324=""),"",$I324/$H324)</f>
        <v/>
      </c>
      <c r="V324" s="24"/>
    </row>
    <row r="325" customFormat="false" ht="15" hidden="false" customHeight="false" outlineLevel="0" collapsed="false">
      <c r="A325" s="21"/>
      <c r="B325" s="22" t="str">
        <f aca="false">IF($A325="","",INDEX(Config!$F$2:$F$8,WEEKDAY($A325,2)))</f>
        <v/>
      </c>
      <c r="C325" s="23" t="str">
        <f aca="false">IF($A325="","",EOMONTH($A325,0))</f>
        <v/>
      </c>
      <c r="D325" s="24"/>
      <c r="E325" s="24"/>
      <c r="F325" s="25"/>
      <c r="G325" s="25"/>
      <c r="H325" s="26" t="str">
        <f aca="false">IF(OR($F325="",$G325=""),"",($G325-$F325+IF($G325&lt;$F325,1,0))*24)</f>
        <v/>
      </c>
      <c r="I325" s="27"/>
      <c r="J325" s="28"/>
      <c r="K325" s="29" t="str">
        <f aca="false">IF($J325="","",$J325*Config!$B$5)</f>
        <v/>
      </c>
      <c r="L325" s="28"/>
      <c r="M325" s="27"/>
      <c r="N325" s="28"/>
      <c r="O325" s="29" t="str">
        <f aca="false">IF($M325="","",$M325*Config!$B$6)</f>
        <v/>
      </c>
      <c r="P325" s="28"/>
      <c r="Q325" s="28"/>
      <c r="R325" s="30" t="str">
        <f aca="false">IF($J325="","",$J325-$K325+SUM($L325)-SUM($N325:$Q325))</f>
        <v/>
      </c>
      <c r="S325" s="30" t="str">
        <f aca="false">IF(OR($R325="",$H325="",$H325=0),"",$R325/$H325)</f>
        <v/>
      </c>
      <c r="T325" s="29" t="str">
        <f aca="false">IF(OR($R325="",$M325="",$M325=0),"",$R325/$M325)</f>
        <v/>
      </c>
      <c r="U325" s="26" t="str">
        <f aca="false">IF(OR($H325="",$H325=0,$I325=""),"",$I325/$H325)</f>
        <v/>
      </c>
      <c r="V325" s="24"/>
    </row>
    <row r="326" customFormat="false" ht="15" hidden="false" customHeight="false" outlineLevel="0" collapsed="false">
      <c r="A326" s="21"/>
      <c r="B326" s="22" t="str">
        <f aca="false">IF($A326="","",INDEX(Config!$F$2:$F$8,WEEKDAY($A326,2)))</f>
        <v/>
      </c>
      <c r="C326" s="23" t="str">
        <f aca="false">IF($A326="","",EOMONTH($A326,0))</f>
        <v/>
      </c>
      <c r="D326" s="24"/>
      <c r="E326" s="24"/>
      <c r="F326" s="25"/>
      <c r="G326" s="25"/>
      <c r="H326" s="26" t="str">
        <f aca="false">IF(OR($F326="",$G326=""),"",($G326-$F326+IF($G326&lt;$F326,1,0))*24)</f>
        <v/>
      </c>
      <c r="I326" s="27"/>
      <c r="J326" s="28"/>
      <c r="K326" s="29" t="str">
        <f aca="false">IF($J326="","",$J326*Config!$B$5)</f>
        <v/>
      </c>
      <c r="L326" s="28"/>
      <c r="M326" s="27"/>
      <c r="N326" s="28"/>
      <c r="O326" s="29" t="str">
        <f aca="false">IF($M326="","",$M326*Config!$B$6)</f>
        <v/>
      </c>
      <c r="P326" s="28"/>
      <c r="Q326" s="28"/>
      <c r="R326" s="30" t="str">
        <f aca="false">IF($J326="","",$J326-$K326+SUM($L326)-SUM($N326:$Q326))</f>
        <v/>
      </c>
      <c r="S326" s="30" t="str">
        <f aca="false">IF(OR($R326="",$H326="",$H326=0),"",$R326/$H326)</f>
        <v/>
      </c>
      <c r="T326" s="29" t="str">
        <f aca="false">IF(OR($R326="",$M326="",$M326=0),"",$R326/$M326)</f>
        <v/>
      </c>
      <c r="U326" s="26" t="str">
        <f aca="false">IF(OR($H326="",$H326=0,$I326=""),"",$I326/$H326)</f>
        <v/>
      </c>
      <c r="V326" s="24"/>
    </row>
    <row r="327" customFormat="false" ht="15" hidden="false" customHeight="false" outlineLevel="0" collapsed="false">
      <c r="A327" s="21"/>
      <c r="B327" s="22" t="str">
        <f aca="false">IF($A327="","",INDEX(Config!$F$2:$F$8,WEEKDAY($A327,2)))</f>
        <v/>
      </c>
      <c r="C327" s="23" t="str">
        <f aca="false">IF($A327="","",EOMONTH($A327,0))</f>
        <v/>
      </c>
      <c r="D327" s="24"/>
      <c r="E327" s="24"/>
      <c r="F327" s="25"/>
      <c r="G327" s="25"/>
      <c r="H327" s="26" t="str">
        <f aca="false">IF(OR($F327="",$G327=""),"",($G327-$F327+IF($G327&lt;$F327,1,0))*24)</f>
        <v/>
      </c>
      <c r="I327" s="27"/>
      <c r="J327" s="28"/>
      <c r="K327" s="29" t="str">
        <f aca="false">IF($J327="","",$J327*Config!$B$5)</f>
        <v/>
      </c>
      <c r="L327" s="28"/>
      <c r="M327" s="27"/>
      <c r="N327" s="28"/>
      <c r="O327" s="29" t="str">
        <f aca="false">IF($M327="","",$M327*Config!$B$6)</f>
        <v/>
      </c>
      <c r="P327" s="28"/>
      <c r="Q327" s="28"/>
      <c r="R327" s="30" t="str">
        <f aca="false">IF($J327="","",$J327-$K327+SUM($L327)-SUM($N327:$Q327))</f>
        <v/>
      </c>
      <c r="S327" s="30" t="str">
        <f aca="false">IF(OR($R327="",$H327="",$H327=0),"",$R327/$H327)</f>
        <v/>
      </c>
      <c r="T327" s="29" t="str">
        <f aca="false">IF(OR($R327="",$M327="",$M327=0),"",$R327/$M327)</f>
        <v/>
      </c>
      <c r="U327" s="26" t="str">
        <f aca="false">IF(OR($H327="",$H327=0,$I327=""),"",$I327/$H327)</f>
        <v/>
      </c>
      <c r="V327" s="24"/>
    </row>
    <row r="328" customFormat="false" ht="15" hidden="false" customHeight="false" outlineLevel="0" collapsed="false">
      <c r="A328" s="21"/>
      <c r="B328" s="22" t="str">
        <f aca="false">IF($A328="","",INDEX(Config!$F$2:$F$8,WEEKDAY($A328,2)))</f>
        <v/>
      </c>
      <c r="C328" s="23" t="str">
        <f aca="false">IF($A328="","",EOMONTH($A328,0))</f>
        <v/>
      </c>
      <c r="D328" s="24"/>
      <c r="E328" s="24"/>
      <c r="F328" s="25"/>
      <c r="G328" s="25"/>
      <c r="H328" s="26" t="str">
        <f aca="false">IF(OR($F328="",$G328=""),"",($G328-$F328+IF($G328&lt;$F328,1,0))*24)</f>
        <v/>
      </c>
      <c r="I328" s="27"/>
      <c r="J328" s="28"/>
      <c r="K328" s="29" t="str">
        <f aca="false">IF($J328="","",$J328*Config!$B$5)</f>
        <v/>
      </c>
      <c r="L328" s="28"/>
      <c r="M328" s="27"/>
      <c r="N328" s="28"/>
      <c r="O328" s="29" t="str">
        <f aca="false">IF($M328="","",$M328*Config!$B$6)</f>
        <v/>
      </c>
      <c r="P328" s="28"/>
      <c r="Q328" s="28"/>
      <c r="R328" s="30" t="str">
        <f aca="false">IF($J328="","",$J328-$K328+SUM($L328)-SUM($N328:$Q328))</f>
        <v/>
      </c>
      <c r="S328" s="30" t="str">
        <f aca="false">IF(OR($R328="",$H328="",$H328=0),"",$R328/$H328)</f>
        <v/>
      </c>
      <c r="T328" s="29" t="str">
        <f aca="false">IF(OR($R328="",$M328="",$M328=0),"",$R328/$M328)</f>
        <v/>
      </c>
      <c r="U328" s="26" t="str">
        <f aca="false">IF(OR($H328="",$H328=0,$I328=""),"",$I328/$H328)</f>
        <v/>
      </c>
      <c r="V328" s="24"/>
    </row>
    <row r="329" customFormat="false" ht="15" hidden="false" customHeight="false" outlineLevel="0" collapsed="false">
      <c r="A329" s="21"/>
      <c r="B329" s="22" t="str">
        <f aca="false">IF($A329="","",INDEX(Config!$F$2:$F$8,WEEKDAY($A329,2)))</f>
        <v/>
      </c>
      <c r="C329" s="23" t="str">
        <f aca="false">IF($A329="","",EOMONTH($A329,0))</f>
        <v/>
      </c>
      <c r="D329" s="24"/>
      <c r="E329" s="24"/>
      <c r="F329" s="25"/>
      <c r="G329" s="25"/>
      <c r="H329" s="26" t="str">
        <f aca="false">IF(OR($F329="",$G329=""),"",($G329-$F329+IF($G329&lt;$F329,1,0))*24)</f>
        <v/>
      </c>
      <c r="I329" s="27"/>
      <c r="J329" s="28"/>
      <c r="K329" s="29" t="str">
        <f aca="false">IF($J329="","",$J329*Config!$B$5)</f>
        <v/>
      </c>
      <c r="L329" s="28"/>
      <c r="M329" s="27"/>
      <c r="N329" s="28"/>
      <c r="O329" s="29" t="str">
        <f aca="false">IF($M329="","",$M329*Config!$B$6)</f>
        <v/>
      </c>
      <c r="P329" s="28"/>
      <c r="Q329" s="28"/>
      <c r="R329" s="30" t="str">
        <f aca="false">IF($J329="","",$J329-$K329+SUM($L329)-SUM($N329:$Q329))</f>
        <v/>
      </c>
      <c r="S329" s="30" t="str">
        <f aca="false">IF(OR($R329="",$H329="",$H329=0),"",$R329/$H329)</f>
        <v/>
      </c>
      <c r="T329" s="29" t="str">
        <f aca="false">IF(OR($R329="",$M329="",$M329=0),"",$R329/$M329)</f>
        <v/>
      </c>
      <c r="U329" s="26" t="str">
        <f aca="false">IF(OR($H329="",$H329=0,$I329=""),"",$I329/$H329)</f>
        <v/>
      </c>
      <c r="V329" s="24"/>
    </row>
    <row r="330" customFormat="false" ht="15" hidden="false" customHeight="false" outlineLevel="0" collapsed="false">
      <c r="A330" s="21"/>
      <c r="B330" s="22" t="str">
        <f aca="false">IF($A330="","",INDEX(Config!$F$2:$F$8,WEEKDAY($A330,2)))</f>
        <v/>
      </c>
      <c r="C330" s="23" t="str">
        <f aca="false">IF($A330="","",EOMONTH($A330,0))</f>
        <v/>
      </c>
      <c r="D330" s="24"/>
      <c r="E330" s="24"/>
      <c r="F330" s="25"/>
      <c r="G330" s="25"/>
      <c r="H330" s="26" t="str">
        <f aca="false">IF(OR($F330="",$G330=""),"",($G330-$F330+IF($G330&lt;$F330,1,0))*24)</f>
        <v/>
      </c>
      <c r="I330" s="27"/>
      <c r="J330" s="28"/>
      <c r="K330" s="29" t="str">
        <f aca="false">IF($J330="","",$J330*Config!$B$5)</f>
        <v/>
      </c>
      <c r="L330" s="28"/>
      <c r="M330" s="27"/>
      <c r="N330" s="28"/>
      <c r="O330" s="29" t="str">
        <f aca="false">IF($M330="","",$M330*Config!$B$6)</f>
        <v/>
      </c>
      <c r="P330" s="28"/>
      <c r="Q330" s="28"/>
      <c r="R330" s="30" t="str">
        <f aca="false">IF($J330="","",$J330-$K330+SUM($L330)-SUM($N330:$Q330))</f>
        <v/>
      </c>
      <c r="S330" s="30" t="str">
        <f aca="false">IF(OR($R330="",$H330="",$H330=0),"",$R330/$H330)</f>
        <v/>
      </c>
      <c r="T330" s="29" t="str">
        <f aca="false">IF(OR($R330="",$M330="",$M330=0),"",$R330/$M330)</f>
        <v/>
      </c>
      <c r="U330" s="26" t="str">
        <f aca="false">IF(OR($H330="",$H330=0,$I330=""),"",$I330/$H330)</f>
        <v/>
      </c>
      <c r="V330" s="24"/>
    </row>
    <row r="331" customFormat="false" ht="15" hidden="false" customHeight="false" outlineLevel="0" collapsed="false">
      <c r="A331" s="21"/>
      <c r="B331" s="22" t="str">
        <f aca="false">IF($A331="","",INDEX(Config!$F$2:$F$8,WEEKDAY($A331,2)))</f>
        <v/>
      </c>
      <c r="C331" s="23" t="str">
        <f aca="false">IF($A331="","",EOMONTH($A331,0))</f>
        <v/>
      </c>
      <c r="D331" s="24"/>
      <c r="E331" s="24"/>
      <c r="F331" s="25"/>
      <c r="G331" s="25"/>
      <c r="H331" s="26" t="str">
        <f aca="false">IF(OR($F331="",$G331=""),"",($G331-$F331+IF($G331&lt;$F331,1,0))*24)</f>
        <v/>
      </c>
      <c r="I331" s="27"/>
      <c r="J331" s="28"/>
      <c r="K331" s="29" t="str">
        <f aca="false">IF($J331="","",$J331*Config!$B$5)</f>
        <v/>
      </c>
      <c r="L331" s="28"/>
      <c r="M331" s="27"/>
      <c r="N331" s="28"/>
      <c r="O331" s="29" t="str">
        <f aca="false">IF($M331="","",$M331*Config!$B$6)</f>
        <v/>
      </c>
      <c r="P331" s="28"/>
      <c r="Q331" s="28"/>
      <c r="R331" s="30" t="str">
        <f aca="false">IF($J331="","",$J331-$K331+SUM($L331)-SUM($N331:$Q331))</f>
        <v/>
      </c>
      <c r="S331" s="30" t="str">
        <f aca="false">IF(OR($R331="",$H331="",$H331=0),"",$R331/$H331)</f>
        <v/>
      </c>
      <c r="T331" s="29" t="str">
        <f aca="false">IF(OR($R331="",$M331="",$M331=0),"",$R331/$M331)</f>
        <v/>
      </c>
      <c r="U331" s="26" t="str">
        <f aca="false">IF(OR($H331="",$H331=0,$I331=""),"",$I331/$H331)</f>
        <v/>
      </c>
      <c r="V331" s="24"/>
    </row>
    <row r="332" customFormat="false" ht="15" hidden="false" customHeight="false" outlineLevel="0" collapsed="false">
      <c r="A332" s="21"/>
      <c r="B332" s="22" t="str">
        <f aca="false">IF($A332="","",INDEX(Config!$F$2:$F$8,WEEKDAY($A332,2)))</f>
        <v/>
      </c>
      <c r="C332" s="23" t="str">
        <f aca="false">IF($A332="","",EOMONTH($A332,0))</f>
        <v/>
      </c>
      <c r="D332" s="24"/>
      <c r="E332" s="24"/>
      <c r="F332" s="25"/>
      <c r="G332" s="25"/>
      <c r="H332" s="26" t="str">
        <f aca="false">IF(OR($F332="",$G332=""),"",($G332-$F332+IF($G332&lt;$F332,1,0))*24)</f>
        <v/>
      </c>
      <c r="I332" s="27"/>
      <c r="J332" s="28"/>
      <c r="K332" s="29" t="str">
        <f aca="false">IF($J332="","",$J332*Config!$B$5)</f>
        <v/>
      </c>
      <c r="L332" s="28"/>
      <c r="M332" s="27"/>
      <c r="N332" s="28"/>
      <c r="O332" s="29" t="str">
        <f aca="false">IF($M332="","",$M332*Config!$B$6)</f>
        <v/>
      </c>
      <c r="P332" s="28"/>
      <c r="Q332" s="28"/>
      <c r="R332" s="30" t="str">
        <f aca="false">IF($J332="","",$J332-$K332+SUM($L332)-SUM($N332:$Q332))</f>
        <v/>
      </c>
      <c r="S332" s="30" t="str">
        <f aca="false">IF(OR($R332="",$H332="",$H332=0),"",$R332/$H332)</f>
        <v/>
      </c>
      <c r="T332" s="29" t="str">
        <f aca="false">IF(OR($R332="",$M332="",$M332=0),"",$R332/$M332)</f>
        <v/>
      </c>
      <c r="U332" s="26" t="str">
        <f aca="false">IF(OR($H332="",$H332=0,$I332=""),"",$I332/$H332)</f>
        <v/>
      </c>
      <c r="V332" s="24"/>
    </row>
    <row r="333" customFormat="false" ht="15" hidden="false" customHeight="false" outlineLevel="0" collapsed="false">
      <c r="A333" s="21"/>
      <c r="B333" s="22" t="str">
        <f aca="false">IF($A333="","",INDEX(Config!$F$2:$F$8,WEEKDAY($A333,2)))</f>
        <v/>
      </c>
      <c r="C333" s="23" t="str">
        <f aca="false">IF($A333="","",EOMONTH($A333,0))</f>
        <v/>
      </c>
      <c r="D333" s="24"/>
      <c r="E333" s="24"/>
      <c r="F333" s="25"/>
      <c r="G333" s="25"/>
      <c r="H333" s="26" t="str">
        <f aca="false">IF(OR($F333="",$G333=""),"",($G333-$F333+IF($G333&lt;$F333,1,0))*24)</f>
        <v/>
      </c>
      <c r="I333" s="27"/>
      <c r="J333" s="28"/>
      <c r="K333" s="29" t="str">
        <f aca="false">IF($J333="","",$J333*Config!$B$5)</f>
        <v/>
      </c>
      <c r="L333" s="28"/>
      <c r="M333" s="27"/>
      <c r="N333" s="28"/>
      <c r="O333" s="29" t="str">
        <f aca="false">IF($M333="","",$M333*Config!$B$6)</f>
        <v/>
      </c>
      <c r="P333" s="28"/>
      <c r="Q333" s="28"/>
      <c r="R333" s="30" t="str">
        <f aca="false">IF($J333="","",$J333-$K333+SUM($L333)-SUM($N333:$Q333))</f>
        <v/>
      </c>
      <c r="S333" s="30" t="str">
        <f aca="false">IF(OR($R333="",$H333="",$H333=0),"",$R333/$H333)</f>
        <v/>
      </c>
      <c r="T333" s="29" t="str">
        <f aca="false">IF(OR($R333="",$M333="",$M333=0),"",$R333/$M333)</f>
        <v/>
      </c>
      <c r="U333" s="26" t="str">
        <f aca="false">IF(OR($H333="",$H333=0,$I333=""),"",$I333/$H333)</f>
        <v/>
      </c>
      <c r="V333" s="24"/>
    </row>
    <row r="334" customFormat="false" ht="15" hidden="false" customHeight="false" outlineLevel="0" collapsed="false">
      <c r="A334" s="21"/>
      <c r="B334" s="22" t="str">
        <f aca="false">IF($A334="","",INDEX(Config!$F$2:$F$8,WEEKDAY($A334,2)))</f>
        <v/>
      </c>
      <c r="C334" s="23" t="str">
        <f aca="false">IF($A334="","",EOMONTH($A334,0))</f>
        <v/>
      </c>
      <c r="D334" s="24"/>
      <c r="E334" s="24"/>
      <c r="F334" s="25"/>
      <c r="G334" s="25"/>
      <c r="H334" s="26" t="str">
        <f aca="false">IF(OR($F334="",$G334=""),"",($G334-$F334+IF($G334&lt;$F334,1,0))*24)</f>
        <v/>
      </c>
      <c r="I334" s="27"/>
      <c r="J334" s="28"/>
      <c r="K334" s="29" t="str">
        <f aca="false">IF($J334="","",$J334*Config!$B$5)</f>
        <v/>
      </c>
      <c r="L334" s="28"/>
      <c r="M334" s="27"/>
      <c r="N334" s="28"/>
      <c r="O334" s="29" t="str">
        <f aca="false">IF($M334="","",$M334*Config!$B$6)</f>
        <v/>
      </c>
      <c r="P334" s="28"/>
      <c r="Q334" s="28"/>
      <c r="R334" s="30" t="str">
        <f aca="false">IF($J334="","",$J334-$K334+SUM($L334)-SUM($N334:$Q334))</f>
        <v/>
      </c>
      <c r="S334" s="30" t="str">
        <f aca="false">IF(OR($R334="",$H334="",$H334=0),"",$R334/$H334)</f>
        <v/>
      </c>
      <c r="T334" s="29" t="str">
        <f aca="false">IF(OR($R334="",$M334="",$M334=0),"",$R334/$M334)</f>
        <v/>
      </c>
      <c r="U334" s="26" t="str">
        <f aca="false">IF(OR($H334="",$H334=0,$I334=""),"",$I334/$H334)</f>
        <v/>
      </c>
      <c r="V334" s="24"/>
    </row>
    <row r="335" customFormat="false" ht="15" hidden="false" customHeight="false" outlineLevel="0" collapsed="false">
      <c r="A335" s="21"/>
      <c r="B335" s="22" t="str">
        <f aca="false">IF($A335="","",INDEX(Config!$F$2:$F$8,WEEKDAY($A335,2)))</f>
        <v/>
      </c>
      <c r="C335" s="23" t="str">
        <f aca="false">IF($A335="","",EOMONTH($A335,0))</f>
        <v/>
      </c>
      <c r="D335" s="24"/>
      <c r="E335" s="24"/>
      <c r="F335" s="25"/>
      <c r="G335" s="25"/>
      <c r="H335" s="26" t="str">
        <f aca="false">IF(OR($F335="",$G335=""),"",($G335-$F335+IF($G335&lt;$F335,1,0))*24)</f>
        <v/>
      </c>
      <c r="I335" s="27"/>
      <c r="J335" s="28"/>
      <c r="K335" s="29" t="str">
        <f aca="false">IF($J335="","",$J335*Config!$B$5)</f>
        <v/>
      </c>
      <c r="L335" s="28"/>
      <c r="M335" s="27"/>
      <c r="N335" s="28"/>
      <c r="O335" s="29" t="str">
        <f aca="false">IF($M335="","",$M335*Config!$B$6)</f>
        <v/>
      </c>
      <c r="P335" s="28"/>
      <c r="Q335" s="28"/>
      <c r="R335" s="30" t="str">
        <f aca="false">IF($J335="","",$J335-$K335+SUM($L335)-SUM($N335:$Q335))</f>
        <v/>
      </c>
      <c r="S335" s="30" t="str">
        <f aca="false">IF(OR($R335="",$H335="",$H335=0),"",$R335/$H335)</f>
        <v/>
      </c>
      <c r="T335" s="29" t="str">
        <f aca="false">IF(OR($R335="",$M335="",$M335=0),"",$R335/$M335)</f>
        <v/>
      </c>
      <c r="U335" s="26" t="str">
        <f aca="false">IF(OR($H335="",$H335=0,$I335=""),"",$I335/$H335)</f>
        <v/>
      </c>
      <c r="V335" s="24"/>
    </row>
    <row r="336" customFormat="false" ht="15" hidden="false" customHeight="false" outlineLevel="0" collapsed="false">
      <c r="A336" s="21"/>
      <c r="B336" s="22" t="str">
        <f aca="false">IF($A336="","",INDEX(Config!$F$2:$F$8,WEEKDAY($A336,2)))</f>
        <v/>
      </c>
      <c r="C336" s="23" t="str">
        <f aca="false">IF($A336="","",EOMONTH($A336,0))</f>
        <v/>
      </c>
      <c r="D336" s="24"/>
      <c r="E336" s="24"/>
      <c r="F336" s="25"/>
      <c r="G336" s="25"/>
      <c r="H336" s="26" t="str">
        <f aca="false">IF(OR($F336="",$G336=""),"",($G336-$F336+IF($G336&lt;$F336,1,0))*24)</f>
        <v/>
      </c>
      <c r="I336" s="27"/>
      <c r="J336" s="28"/>
      <c r="K336" s="29" t="str">
        <f aca="false">IF($J336="","",$J336*Config!$B$5)</f>
        <v/>
      </c>
      <c r="L336" s="28"/>
      <c r="M336" s="27"/>
      <c r="N336" s="28"/>
      <c r="O336" s="29" t="str">
        <f aca="false">IF($M336="","",$M336*Config!$B$6)</f>
        <v/>
      </c>
      <c r="P336" s="28"/>
      <c r="Q336" s="28"/>
      <c r="R336" s="30" t="str">
        <f aca="false">IF($J336="","",$J336-$K336+SUM($L336)-SUM($N336:$Q336))</f>
        <v/>
      </c>
      <c r="S336" s="30" t="str">
        <f aca="false">IF(OR($R336="",$H336="",$H336=0),"",$R336/$H336)</f>
        <v/>
      </c>
      <c r="T336" s="29" t="str">
        <f aca="false">IF(OR($R336="",$M336="",$M336=0),"",$R336/$M336)</f>
        <v/>
      </c>
      <c r="U336" s="26" t="str">
        <f aca="false">IF(OR($H336="",$H336=0,$I336=""),"",$I336/$H336)</f>
        <v/>
      </c>
      <c r="V336" s="24"/>
    </row>
    <row r="337" customFormat="false" ht="15" hidden="false" customHeight="false" outlineLevel="0" collapsed="false">
      <c r="A337" s="21"/>
      <c r="B337" s="22" t="str">
        <f aca="false">IF($A337="","",INDEX(Config!$F$2:$F$8,WEEKDAY($A337,2)))</f>
        <v/>
      </c>
      <c r="C337" s="23" t="str">
        <f aca="false">IF($A337="","",EOMONTH($A337,0))</f>
        <v/>
      </c>
      <c r="D337" s="24"/>
      <c r="E337" s="24"/>
      <c r="F337" s="25"/>
      <c r="G337" s="25"/>
      <c r="H337" s="26" t="str">
        <f aca="false">IF(OR($F337="",$G337=""),"",($G337-$F337+IF($G337&lt;$F337,1,0))*24)</f>
        <v/>
      </c>
      <c r="I337" s="27"/>
      <c r="J337" s="28"/>
      <c r="K337" s="29" t="str">
        <f aca="false">IF($J337="","",$J337*Config!$B$5)</f>
        <v/>
      </c>
      <c r="L337" s="28"/>
      <c r="M337" s="27"/>
      <c r="N337" s="28"/>
      <c r="O337" s="29" t="str">
        <f aca="false">IF($M337="","",$M337*Config!$B$6)</f>
        <v/>
      </c>
      <c r="P337" s="28"/>
      <c r="Q337" s="28"/>
      <c r="R337" s="30" t="str">
        <f aca="false">IF($J337="","",$J337-$K337+SUM($L337)-SUM($N337:$Q337))</f>
        <v/>
      </c>
      <c r="S337" s="30" t="str">
        <f aca="false">IF(OR($R337="",$H337="",$H337=0),"",$R337/$H337)</f>
        <v/>
      </c>
      <c r="T337" s="29" t="str">
        <f aca="false">IF(OR($R337="",$M337="",$M337=0),"",$R337/$M337)</f>
        <v/>
      </c>
      <c r="U337" s="26" t="str">
        <f aca="false">IF(OR($H337="",$H337=0,$I337=""),"",$I337/$H337)</f>
        <v/>
      </c>
      <c r="V337" s="24"/>
    </row>
    <row r="338" customFormat="false" ht="15" hidden="false" customHeight="false" outlineLevel="0" collapsed="false">
      <c r="A338" s="21"/>
      <c r="B338" s="22" t="str">
        <f aca="false">IF($A338="","",INDEX(Config!$F$2:$F$8,WEEKDAY($A338,2)))</f>
        <v/>
      </c>
      <c r="C338" s="23" t="str">
        <f aca="false">IF($A338="","",EOMONTH($A338,0))</f>
        <v/>
      </c>
      <c r="D338" s="24"/>
      <c r="E338" s="24"/>
      <c r="F338" s="25"/>
      <c r="G338" s="25"/>
      <c r="H338" s="26" t="str">
        <f aca="false">IF(OR($F338="",$G338=""),"",($G338-$F338+IF($G338&lt;$F338,1,0))*24)</f>
        <v/>
      </c>
      <c r="I338" s="27"/>
      <c r="J338" s="28"/>
      <c r="K338" s="29" t="str">
        <f aca="false">IF($J338="","",$J338*Config!$B$5)</f>
        <v/>
      </c>
      <c r="L338" s="28"/>
      <c r="M338" s="27"/>
      <c r="N338" s="28"/>
      <c r="O338" s="29" t="str">
        <f aca="false">IF($M338="","",$M338*Config!$B$6)</f>
        <v/>
      </c>
      <c r="P338" s="28"/>
      <c r="Q338" s="28"/>
      <c r="R338" s="30" t="str">
        <f aca="false">IF($J338="","",$J338-$K338+SUM($L338)-SUM($N338:$Q338))</f>
        <v/>
      </c>
      <c r="S338" s="30" t="str">
        <f aca="false">IF(OR($R338="",$H338="",$H338=0),"",$R338/$H338)</f>
        <v/>
      </c>
      <c r="T338" s="29" t="str">
        <f aca="false">IF(OR($R338="",$M338="",$M338=0),"",$R338/$M338)</f>
        <v/>
      </c>
      <c r="U338" s="26" t="str">
        <f aca="false">IF(OR($H338="",$H338=0,$I338=""),"",$I338/$H338)</f>
        <v/>
      </c>
      <c r="V338" s="24"/>
    </row>
    <row r="339" customFormat="false" ht="15" hidden="false" customHeight="false" outlineLevel="0" collapsed="false">
      <c r="A339" s="21"/>
      <c r="B339" s="22" t="str">
        <f aca="false">IF($A339="","",INDEX(Config!$F$2:$F$8,WEEKDAY($A339,2)))</f>
        <v/>
      </c>
      <c r="C339" s="23" t="str">
        <f aca="false">IF($A339="","",EOMONTH($A339,0))</f>
        <v/>
      </c>
      <c r="D339" s="24"/>
      <c r="E339" s="24"/>
      <c r="F339" s="25"/>
      <c r="G339" s="25"/>
      <c r="H339" s="26" t="str">
        <f aca="false">IF(OR($F339="",$G339=""),"",($G339-$F339+IF($G339&lt;$F339,1,0))*24)</f>
        <v/>
      </c>
      <c r="I339" s="27"/>
      <c r="J339" s="28"/>
      <c r="K339" s="29" t="str">
        <f aca="false">IF($J339="","",$J339*Config!$B$5)</f>
        <v/>
      </c>
      <c r="L339" s="28"/>
      <c r="M339" s="27"/>
      <c r="N339" s="28"/>
      <c r="O339" s="29" t="str">
        <f aca="false">IF($M339="","",$M339*Config!$B$6)</f>
        <v/>
      </c>
      <c r="P339" s="28"/>
      <c r="Q339" s="28"/>
      <c r="R339" s="30" t="str">
        <f aca="false">IF($J339="","",$J339-$K339+SUM($L339)-SUM($N339:$Q339))</f>
        <v/>
      </c>
      <c r="S339" s="30" t="str">
        <f aca="false">IF(OR($R339="",$H339="",$H339=0),"",$R339/$H339)</f>
        <v/>
      </c>
      <c r="T339" s="29" t="str">
        <f aca="false">IF(OR($R339="",$M339="",$M339=0),"",$R339/$M339)</f>
        <v/>
      </c>
      <c r="U339" s="26" t="str">
        <f aca="false">IF(OR($H339="",$H339=0,$I339=""),"",$I339/$H339)</f>
        <v/>
      </c>
      <c r="V339" s="24"/>
    </row>
    <row r="340" customFormat="false" ht="15" hidden="false" customHeight="false" outlineLevel="0" collapsed="false">
      <c r="A340" s="21"/>
      <c r="B340" s="22" t="str">
        <f aca="false">IF($A340="","",INDEX(Config!$F$2:$F$8,WEEKDAY($A340,2)))</f>
        <v/>
      </c>
      <c r="C340" s="23" t="str">
        <f aca="false">IF($A340="","",EOMONTH($A340,0))</f>
        <v/>
      </c>
      <c r="D340" s="24"/>
      <c r="E340" s="24"/>
      <c r="F340" s="25"/>
      <c r="G340" s="25"/>
      <c r="H340" s="26" t="str">
        <f aca="false">IF(OR($F340="",$G340=""),"",($G340-$F340+IF($G340&lt;$F340,1,0))*24)</f>
        <v/>
      </c>
      <c r="I340" s="27"/>
      <c r="J340" s="28"/>
      <c r="K340" s="29" t="str">
        <f aca="false">IF($J340="","",$J340*Config!$B$5)</f>
        <v/>
      </c>
      <c r="L340" s="28"/>
      <c r="M340" s="27"/>
      <c r="N340" s="28"/>
      <c r="O340" s="29" t="str">
        <f aca="false">IF($M340="","",$M340*Config!$B$6)</f>
        <v/>
      </c>
      <c r="P340" s="28"/>
      <c r="Q340" s="28"/>
      <c r="R340" s="30" t="str">
        <f aca="false">IF($J340="","",$J340-$K340+SUM($L340)-SUM($N340:$Q340))</f>
        <v/>
      </c>
      <c r="S340" s="30" t="str">
        <f aca="false">IF(OR($R340="",$H340="",$H340=0),"",$R340/$H340)</f>
        <v/>
      </c>
      <c r="T340" s="29" t="str">
        <f aca="false">IF(OR($R340="",$M340="",$M340=0),"",$R340/$M340)</f>
        <v/>
      </c>
      <c r="U340" s="26" t="str">
        <f aca="false">IF(OR($H340="",$H340=0,$I340=""),"",$I340/$H340)</f>
        <v/>
      </c>
      <c r="V340" s="24"/>
    </row>
    <row r="341" customFormat="false" ht="15" hidden="false" customHeight="false" outlineLevel="0" collapsed="false">
      <c r="A341" s="21"/>
      <c r="B341" s="22" t="str">
        <f aca="false">IF($A341="","",INDEX(Config!$F$2:$F$8,WEEKDAY($A341,2)))</f>
        <v/>
      </c>
      <c r="C341" s="23" t="str">
        <f aca="false">IF($A341="","",EOMONTH($A341,0))</f>
        <v/>
      </c>
      <c r="D341" s="24"/>
      <c r="E341" s="24"/>
      <c r="F341" s="25"/>
      <c r="G341" s="25"/>
      <c r="H341" s="26" t="str">
        <f aca="false">IF(OR($F341="",$G341=""),"",($G341-$F341+IF($G341&lt;$F341,1,0))*24)</f>
        <v/>
      </c>
      <c r="I341" s="27"/>
      <c r="J341" s="28"/>
      <c r="K341" s="29" t="str">
        <f aca="false">IF($J341="","",$J341*Config!$B$5)</f>
        <v/>
      </c>
      <c r="L341" s="28"/>
      <c r="M341" s="27"/>
      <c r="N341" s="28"/>
      <c r="O341" s="29" t="str">
        <f aca="false">IF($M341="","",$M341*Config!$B$6)</f>
        <v/>
      </c>
      <c r="P341" s="28"/>
      <c r="Q341" s="28"/>
      <c r="R341" s="30" t="str">
        <f aca="false">IF($J341="","",$J341-$K341+SUM($L341)-SUM($N341:$Q341))</f>
        <v/>
      </c>
      <c r="S341" s="30" t="str">
        <f aca="false">IF(OR($R341="",$H341="",$H341=0),"",$R341/$H341)</f>
        <v/>
      </c>
      <c r="T341" s="29" t="str">
        <f aca="false">IF(OR($R341="",$M341="",$M341=0),"",$R341/$M341)</f>
        <v/>
      </c>
      <c r="U341" s="26" t="str">
        <f aca="false">IF(OR($H341="",$H341=0,$I341=""),"",$I341/$H341)</f>
        <v/>
      </c>
      <c r="V341" s="24"/>
    </row>
    <row r="342" customFormat="false" ht="15" hidden="false" customHeight="false" outlineLevel="0" collapsed="false">
      <c r="A342" s="21"/>
      <c r="B342" s="22" t="str">
        <f aca="false">IF($A342="","",INDEX(Config!$F$2:$F$8,WEEKDAY($A342,2)))</f>
        <v/>
      </c>
      <c r="C342" s="23" t="str">
        <f aca="false">IF($A342="","",EOMONTH($A342,0))</f>
        <v/>
      </c>
      <c r="D342" s="24"/>
      <c r="E342" s="24"/>
      <c r="F342" s="25"/>
      <c r="G342" s="25"/>
      <c r="H342" s="26" t="str">
        <f aca="false">IF(OR($F342="",$G342=""),"",($G342-$F342+IF($G342&lt;$F342,1,0))*24)</f>
        <v/>
      </c>
      <c r="I342" s="27"/>
      <c r="J342" s="28"/>
      <c r="K342" s="29" t="str">
        <f aca="false">IF($J342="","",$J342*Config!$B$5)</f>
        <v/>
      </c>
      <c r="L342" s="28"/>
      <c r="M342" s="27"/>
      <c r="N342" s="28"/>
      <c r="O342" s="29" t="str">
        <f aca="false">IF($M342="","",$M342*Config!$B$6)</f>
        <v/>
      </c>
      <c r="P342" s="28"/>
      <c r="Q342" s="28"/>
      <c r="R342" s="30" t="str">
        <f aca="false">IF($J342="","",$J342-$K342+SUM($L342)-SUM($N342:$Q342))</f>
        <v/>
      </c>
      <c r="S342" s="30" t="str">
        <f aca="false">IF(OR($R342="",$H342="",$H342=0),"",$R342/$H342)</f>
        <v/>
      </c>
      <c r="T342" s="29" t="str">
        <f aca="false">IF(OR($R342="",$M342="",$M342=0),"",$R342/$M342)</f>
        <v/>
      </c>
      <c r="U342" s="26" t="str">
        <f aca="false">IF(OR($H342="",$H342=0,$I342=""),"",$I342/$H342)</f>
        <v/>
      </c>
      <c r="V342" s="24"/>
    </row>
    <row r="343" customFormat="false" ht="15" hidden="false" customHeight="false" outlineLevel="0" collapsed="false">
      <c r="A343" s="21"/>
      <c r="B343" s="22" t="str">
        <f aca="false">IF($A343="","",INDEX(Config!$F$2:$F$8,WEEKDAY($A343,2)))</f>
        <v/>
      </c>
      <c r="C343" s="23" t="str">
        <f aca="false">IF($A343="","",EOMONTH($A343,0))</f>
        <v/>
      </c>
      <c r="D343" s="24"/>
      <c r="E343" s="24"/>
      <c r="F343" s="25"/>
      <c r="G343" s="25"/>
      <c r="H343" s="26" t="str">
        <f aca="false">IF(OR($F343="",$G343=""),"",($G343-$F343+IF($G343&lt;$F343,1,0))*24)</f>
        <v/>
      </c>
      <c r="I343" s="27"/>
      <c r="J343" s="28"/>
      <c r="K343" s="29" t="str">
        <f aca="false">IF($J343="","",$J343*Config!$B$5)</f>
        <v/>
      </c>
      <c r="L343" s="28"/>
      <c r="M343" s="27"/>
      <c r="N343" s="28"/>
      <c r="O343" s="29" t="str">
        <f aca="false">IF($M343="","",$M343*Config!$B$6)</f>
        <v/>
      </c>
      <c r="P343" s="28"/>
      <c r="Q343" s="28"/>
      <c r="R343" s="30" t="str">
        <f aca="false">IF($J343="","",$J343-$K343+SUM($L343)-SUM($N343:$Q343))</f>
        <v/>
      </c>
      <c r="S343" s="30" t="str">
        <f aca="false">IF(OR($R343="",$H343="",$H343=0),"",$R343/$H343)</f>
        <v/>
      </c>
      <c r="T343" s="29" t="str">
        <f aca="false">IF(OR($R343="",$M343="",$M343=0),"",$R343/$M343)</f>
        <v/>
      </c>
      <c r="U343" s="26" t="str">
        <f aca="false">IF(OR($H343="",$H343=0,$I343=""),"",$I343/$H343)</f>
        <v/>
      </c>
      <c r="V343" s="24"/>
    </row>
    <row r="344" customFormat="false" ht="15" hidden="false" customHeight="false" outlineLevel="0" collapsed="false">
      <c r="A344" s="21"/>
      <c r="B344" s="22" t="str">
        <f aca="false">IF($A344="","",INDEX(Config!$F$2:$F$8,WEEKDAY($A344,2)))</f>
        <v/>
      </c>
      <c r="C344" s="23" t="str">
        <f aca="false">IF($A344="","",EOMONTH($A344,0))</f>
        <v/>
      </c>
      <c r="D344" s="24"/>
      <c r="E344" s="24"/>
      <c r="F344" s="25"/>
      <c r="G344" s="25"/>
      <c r="H344" s="26" t="str">
        <f aca="false">IF(OR($F344="",$G344=""),"",($G344-$F344+IF($G344&lt;$F344,1,0))*24)</f>
        <v/>
      </c>
      <c r="I344" s="27"/>
      <c r="J344" s="28"/>
      <c r="K344" s="29" t="str">
        <f aca="false">IF($J344="","",$J344*Config!$B$5)</f>
        <v/>
      </c>
      <c r="L344" s="28"/>
      <c r="M344" s="27"/>
      <c r="N344" s="28"/>
      <c r="O344" s="29" t="str">
        <f aca="false">IF($M344="","",$M344*Config!$B$6)</f>
        <v/>
      </c>
      <c r="P344" s="28"/>
      <c r="Q344" s="28"/>
      <c r="R344" s="30" t="str">
        <f aca="false">IF($J344="","",$J344-$K344+SUM($L344)-SUM($N344:$Q344))</f>
        <v/>
      </c>
      <c r="S344" s="30" t="str">
        <f aca="false">IF(OR($R344="",$H344="",$H344=0),"",$R344/$H344)</f>
        <v/>
      </c>
      <c r="T344" s="29" t="str">
        <f aca="false">IF(OR($R344="",$M344="",$M344=0),"",$R344/$M344)</f>
        <v/>
      </c>
      <c r="U344" s="26" t="str">
        <f aca="false">IF(OR($H344="",$H344=0,$I344=""),"",$I344/$H344)</f>
        <v/>
      </c>
      <c r="V344" s="24"/>
    </row>
    <row r="345" customFormat="false" ht="15" hidden="false" customHeight="false" outlineLevel="0" collapsed="false">
      <c r="A345" s="21"/>
      <c r="B345" s="22" t="str">
        <f aca="false">IF($A345="","",INDEX(Config!$F$2:$F$8,WEEKDAY($A345,2)))</f>
        <v/>
      </c>
      <c r="C345" s="23" t="str">
        <f aca="false">IF($A345="","",EOMONTH($A345,0))</f>
        <v/>
      </c>
      <c r="D345" s="24"/>
      <c r="E345" s="24"/>
      <c r="F345" s="25"/>
      <c r="G345" s="25"/>
      <c r="H345" s="26" t="str">
        <f aca="false">IF(OR($F345="",$G345=""),"",($G345-$F345+IF($G345&lt;$F345,1,0))*24)</f>
        <v/>
      </c>
      <c r="I345" s="27"/>
      <c r="J345" s="28"/>
      <c r="K345" s="29" t="str">
        <f aca="false">IF($J345="","",$J345*Config!$B$5)</f>
        <v/>
      </c>
      <c r="L345" s="28"/>
      <c r="M345" s="27"/>
      <c r="N345" s="28"/>
      <c r="O345" s="29" t="str">
        <f aca="false">IF($M345="","",$M345*Config!$B$6)</f>
        <v/>
      </c>
      <c r="P345" s="28"/>
      <c r="Q345" s="28"/>
      <c r="R345" s="30" t="str">
        <f aca="false">IF($J345="","",$J345-$K345+SUM($L345)-SUM($N345:$Q345))</f>
        <v/>
      </c>
      <c r="S345" s="30" t="str">
        <f aca="false">IF(OR($R345="",$H345="",$H345=0),"",$R345/$H345)</f>
        <v/>
      </c>
      <c r="T345" s="29" t="str">
        <f aca="false">IF(OR($R345="",$M345="",$M345=0),"",$R345/$M345)</f>
        <v/>
      </c>
      <c r="U345" s="26" t="str">
        <f aca="false">IF(OR($H345="",$H345=0,$I345=""),"",$I345/$H345)</f>
        <v/>
      </c>
      <c r="V345" s="24"/>
    </row>
    <row r="346" customFormat="false" ht="15" hidden="false" customHeight="false" outlineLevel="0" collapsed="false">
      <c r="A346" s="21"/>
      <c r="B346" s="22" t="str">
        <f aca="false">IF($A346="","",INDEX(Config!$F$2:$F$8,WEEKDAY($A346,2)))</f>
        <v/>
      </c>
      <c r="C346" s="23" t="str">
        <f aca="false">IF($A346="","",EOMONTH($A346,0))</f>
        <v/>
      </c>
      <c r="D346" s="24"/>
      <c r="E346" s="24"/>
      <c r="F346" s="25"/>
      <c r="G346" s="25"/>
      <c r="H346" s="26" t="str">
        <f aca="false">IF(OR($F346="",$G346=""),"",($G346-$F346+IF($G346&lt;$F346,1,0))*24)</f>
        <v/>
      </c>
      <c r="I346" s="27"/>
      <c r="J346" s="28"/>
      <c r="K346" s="29" t="str">
        <f aca="false">IF($J346="","",$J346*Config!$B$5)</f>
        <v/>
      </c>
      <c r="L346" s="28"/>
      <c r="M346" s="27"/>
      <c r="N346" s="28"/>
      <c r="O346" s="29" t="str">
        <f aca="false">IF($M346="","",$M346*Config!$B$6)</f>
        <v/>
      </c>
      <c r="P346" s="28"/>
      <c r="Q346" s="28"/>
      <c r="R346" s="30" t="str">
        <f aca="false">IF($J346="","",$J346-$K346+SUM($L346)-SUM($N346:$Q346))</f>
        <v/>
      </c>
      <c r="S346" s="30" t="str">
        <f aca="false">IF(OR($R346="",$H346="",$H346=0),"",$R346/$H346)</f>
        <v/>
      </c>
      <c r="T346" s="29" t="str">
        <f aca="false">IF(OR($R346="",$M346="",$M346=0),"",$R346/$M346)</f>
        <v/>
      </c>
      <c r="U346" s="26" t="str">
        <f aca="false">IF(OR($H346="",$H346=0,$I346=""),"",$I346/$H346)</f>
        <v/>
      </c>
      <c r="V346" s="24"/>
    </row>
    <row r="347" customFormat="false" ht="15" hidden="false" customHeight="false" outlineLevel="0" collapsed="false">
      <c r="A347" s="21"/>
      <c r="B347" s="22" t="str">
        <f aca="false">IF($A347="","",INDEX(Config!$F$2:$F$8,WEEKDAY($A347,2)))</f>
        <v/>
      </c>
      <c r="C347" s="23" t="str">
        <f aca="false">IF($A347="","",EOMONTH($A347,0))</f>
        <v/>
      </c>
      <c r="D347" s="24"/>
      <c r="E347" s="24"/>
      <c r="F347" s="25"/>
      <c r="G347" s="25"/>
      <c r="H347" s="26" t="str">
        <f aca="false">IF(OR($F347="",$G347=""),"",($G347-$F347+IF($G347&lt;$F347,1,0))*24)</f>
        <v/>
      </c>
      <c r="I347" s="27"/>
      <c r="J347" s="28"/>
      <c r="K347" s="29" t="str">
        <f aca="false">IF($J347="","",$J347*Config!$B$5)</f>
        <v/>
      </c>
      <c r="L347" s="28"/>
      <c r="M347" s="27"/>
      <c r="N347" s="28"/>
      <c r="O347" s="29" t="str">
        <f aca="false">IF($M347="","",$M347*Config!$B$6)</f>
        <v/>
      </c>
      <c r="P347" s="28"/>
      <c r="Q347" s="28"/>
      <c r="R347" s="30" t="str">
        <f aca="false">IF($J347="","",$J347-$K347+SUM($L347)-SUM($N347:$Q347))</f>
        <v/>
      </c>
      <c r="S347" s="30" t="str">
        <f aca="false">IF(OR($R347="",$H347="",$H347=0),"",$R347/$H347)</f>
        <v/>
      </c>
      <c r="T347" s="29" t="str">
        <f aca="false">IF(OR($R347="",$M347="",$M347=0),"",$R347/$M347)</f>
        <v/>
      </c>
      <c r="U347" s="26" t="str">
        <f aca="false">IF(OR($H347="",$H347=0,$I347=""),"",$I347/$H347)</f>
        <v/>
      </c>
      <c r="V347" s="24"/>
    </row>
    <row r="348" customFormat="false" ht="15" hidden="false" customHeight="false" outlineLevel="0" collapsed="false">
      <c r="A348" s="21"/>
      <c r="B348" s="22" t="str">
        <f aca="false">IF($A348="","",INDEX(Config!$F$2:$F$8,WEEKDAY($A348,2)))</f>
        <v/>
      </c>
      <c r="C348" s="23" t="str">
        <f aca="false">IF($A348="","",EOMONTH($A348,0))</f>
        <v/>
      </c>
      <c r="D348" s="24"/>
      <c r="E348" s="24"/>
      <c r="F348" s="25"/>
      <c r="G348" s="25"/>
      <c r="H348" s="26" t="str">
        <f aca="false">IF(OR($F348="",$G348=""),"",($G348-$F348+IF($G348&lt;$F348,1,0))*24)</f>
        <v/>
      </c>
      <c r="I348" s="27"/>
      <c r="J348" s="28"/>
      <c r="K348" s="29" t="str">
        <f aca="false">IF($J348="","",$J348*Config!$B$5)</f>
        <v/>
      </c>
      <c r="L348" s="28"/>
      <c r="M348" s="27"/>
      <c r="N348" s="28"/>
      <c r="O348" s="29" t="str">
        <f aca="false">IF($M348="","",$M348*Config!$B$6)</f>
        <v/>
      </c>
      <c r="P348" s="28"/>
      <c r="Q348" s="28"/>
      <c r="R348" s="30" t="str">
        <f aca="false">IF($J348="","",$J348-$K348+SUM($L348)-SUM($N348:$Q348))</f>
        <v/>
      </c>
      <c r="S348" s="30" t="str">
        <f aca="false">IF(OR($R348="",$H348="",$H348=0),"",$R348/$H348)</f>
        <v/>
      </c>
      <c r="T348" s="29" t="str">
        <f aca="false">IF(OR($R348="",$M348="",$M348=0),"",$R348/$M348)</f>
        <v/>
      </c>
      <c r="U348" s="26" t="str">
        <f aca="false">IF(OR($H348="",$H348=0,$I348=""),"",$I348/$H348)</f>
        <v/>
      </c>
      <c r="V348" s="24"/>
    </row>
    <row r="349" customFormat="false" ht="15" hidden="false" customHeight="false" outlineLevel="0" collapsed="false">
      <c r="A349" s="21"/>
      <c r="B349" s="22" t="str">
        <f aca="false">IF($A349="","",INDEX(Config!$F$2:$F$8,WEEKDAY($A349,2)))</f>
        <v/>
      </c>
      <c r="C349" s="23" t="str">
        <f aca="false">IF($A349="","",EOMONTH($A349,0))</f>
        <v/>
      </c>
      <c r="D349" s="24"/>
      <c r="E349" s="24"/>
      <c r="F349" s="25"/>
      <c r="G349" s="25"/>
      <c r="H349" s="26" t="str">
        <f aca="false">IF(OR($F349="",$G349=""),"",($G349-$F349+IF($G349&lt;$F349,1,0))*24)</f>
        <v/>
      </c>
      <c r="I349" s="27"/>
      <c r="J349" s="28"/>
      <c r="K349" s="29" t="str">
        <f aca="false">IF($J349="","",$J349*Config!$B$5)</f>
        <v/>
      </c>
      <c r="L349" s="28"/>
      <c r="M349" s="27"/>
      <c r="N349" s="28"/>
      <c r="O349" s="29" t="str">
        <f aca="false">IF($M349="","",$M349*Config!$B$6)</f>
        <v/>
      </c>
      <c r="P349" s="28"/>
      <c r="Q349" s="28"/>
      <c r="R349" s="30" t="str">
        <f aca="false">IF($J349="","",$J349-$K349+SUM($L349)-SUM($N349:$Q349))</f>
        <v/>
      </c>
      <c r="S349" s="30" t="str">
        <f aca="false">IF(OR($R349="",$H349="",$H349=0),"",$R349/$H349)</f>
        <v/>
      </c>
      <c r="T349" s="29" t="str">
        <f aca="false">IF(OR($R349="",$M349="",$M349=0),"",$R349/$M349)</f>
        <v/>
      </c>
      <c r="U349" s="26" t="str">
        <f aca="false">IF(OR($H349="",$H349=0,$I349=""),"",$I349/$H349)</f>
        <v/>
      </c>
      <c r="V349" s="24"/>
    </row>
    <row r="350" customFormat="false" ht="15" hidden="false" customHeight="false" outlineLevel="0" collapsed="false">
      <c r="A350" s="21"/>
      <c r="B350" s="22" t="str">
        <f aca="false">IF($A350="","",INDEX(Config!$F$2:$F$8,WEEKDAY($A350,2)))</f>
        <v/>
      </c>
      <c r="C350" s="23" t="str">
        <f aca="false">IF($A350="","",EOMONTH($A350,0))</f>
        <v/>
      </c>
      <c r="D350" s="24"/>
      <c r="E350" s="24"/>
      <c r="F350" s="25"/>
      <c r="G350" s="25"/>
      <c r="H350" s="26" t="str">
        <f aca="false">IF(OR($F350="",$G350=""),"",($G350-$F350+IF($G350&lt;$F350,1,0))*24)</f>
        <v/>
      </c>
      <c r="I350" s="27"/>
      <c r="J350" s="28"/>
      <c r="K350" s="29" t="str">
        <f aca="false">IF($J350="","",$J350*Config!$B$5)</f>
        <v/>
      </c>
      <c r="L350" s="28"/>
      <c r="M350" s="27"/>
      <c r="N350" s="28"/>
      <c r="O350" s="29" t="str">
        <f aca="false">IF($M350="","",$M350*Config!$B$6)</f>
        <v/>
      </c>
      <c r="P350" s="28"/>
      <c r="Q350" s="28"/>
      <c r="R350" s="30" t="str">
        <f aca="false">IF($J350="","",$J350-$K350+SUM($L350)-SUM($N350:$Q350))</f>
        <v/>
      </c>
      <c r="S350" s="30" t="str">
        <f aca="false">IF(OR($R350="",$H350="",$H350=0),"",$R350/$H350)</f>
        <v/>
      </c>
      <c r="T350" s="29" t="str">
        <f aca="false">IF(OR($R350="",$M350="",$M350=0),"",$R350/$M350)</f>
        <v/>
      </c>
      <c r="U350" s="26" t="str">
        <f aca="false">IF(OR($H350="",$H350=0,$I350=""),"",$I350/$H350)</f>
        <v/>
      </c>
      <c r="V350" s="24"/>
    </row>
    <row r="351" customFormat="false" ht="15" hidden="false" customHeight="false" outlineLevel="0" collapsed="false">
      <c r="A351" s="21"/>
      <c r="B351" s="22" t="str">
        <f aca="false">IF($A351="","",INDEX(Config!$F$2:$F$8,WEEKDAY($A351,2)))</f>
        <v/>
      </c>
      <c r="C351" s="23" t="str">
        <f aca="false">IF($A351="","",EOMONTH($A351,0))</f>
        <v/>
      </c>
      <c r="D351" s="24"/>
      <c r="E351" s="24"/>
      <c r="F351" s="25"/>
      <c r="G351" s="25"/>
      <c r="H351" s="26" t="str">
        <f aca="false">IF(OR($F351="",$G351=""),"",($G351-$F351+IF($G351&lt;$F351,1,0))*24)</f>
        <v/>
      </c>
      <c r="I351" s="27"/>
      <c r="J351" s="28"/>
      <c r="K351" s="29" t="str">
        <f aca="false">IF($J351="","",$J351*Config!$B$5)</f>
        <v/>
      </c>
      <c r="L351" s="28"/>
      <c r="M351" s="27"/>
      <c r="N351" s="28"/>
      <c r="O351" s="29" t="str">
        <f aca="false">IF($M351="","",$M351*Config!$B$6)</f>
        <v/>
      </c>
      <c r="P351" s="28"/>
      <c r="Q351" s="28"/>
      <c r="R351" s="30" t="str">
        <f aca="false">IF($J351="","",$J351-$K351+SUM($L351)-SUM($N351:$Q351))</f>
        <v/>
      </c>
      <c r="S351" s="30" t="str">
        <f aca="false">IF(OR($R351="",$H351="",$H351=0),"",$R351/$H351)</f>
        <v/>
      </c>
      <c r="T351" s="29" t="str">
        <f aca="false">IF(OR($R351="",$M351="",$M351=0),"",$R351/$M351)</f>
        <v/>
      </c>
      <c r="U351" s="26" t="str">
        <f aca="false">IF(OR($H351="",$H351=0,$I351=""),"",$I351/$H351)</f>
        <v/>
      </c>
      <c r="V351" s="24"/>
    </row>
    <row r="352" customFormat="false" ht="15" hidden="false" customHeight="false" outlineLevel="0" collapsed="false">
      <c r="A352" s="21"/>
      <c r="B352" s="22" t="str">
        <f aca="false">IF($A352="","",INDEX(Config!$F$2:$F$8,WEEKDAY($A352,2)))</f>
        <v/>
      </c>
      <c r="C352" s="23" t="str">
        <f aca="false">IF($A352="","",EOMONTH($A352,0))</f>
        <v/>
      </c>
      <c r="D352" s="24"/>
      <c r="E352" s="24"/>
      <c r="F352" s="25"/>
      <c r="G352" s="25"/>
      <c r="H352" s="26" t="str">
        <f aca="false">IF(OR($F352="",$G352=""),"",($G352-$F352+IF($G352&lt;$F352,1,0))*24)</f>
        <v/>
      </c>
      <c r="I352" s="27"/>
      <c r="J352" s="28"/>
      <c r="K352" s="29" t="str">
        <f aca="false">IF($J352="","",$J352*Config!$B$5)</f>
        <v/>
      </c>
      <c r="L352" s="28"/>
      <c r="M352" s="27"/>
      <c r="N352" s="28"/>
      <c r="O352" s="29" t="str">
        <f aca="false">IF($M352="","",$M352*Config!$B$6)</f>
        <v/>
      </c>
      <c r="P352" s="28"/>
      <c r="Q352" s="28"/>
      <c r="R352" s="30" t="str">
        <f aca="false">IF($J352="","",$J352-$K352+SUM($L352)-SUM($N352:$Q352))</f>
        <v/>
      </c>
      <c r="S352" s="30" t="str">
        <f aca="false">IF(OR($R352="",$H352="",$H352=0),"",$R352/$H352)</f>
        <v/>
      </c>
      <c r="T352" s="29" t="str">
        <f aca="false">IF(OR($R352="",$M352="",$M352=0),"",$R352/$M352)</f>
        <v/>
      </c>
      <c r="U352" s="26" t="str">
        <f aca="false">IF(OR($H352="",$H352=0,$I352=""),"",$I352/$H352)</f>
        <v/>
      </c>
      <c r="V352" s="24"/>
    </row>
    <row r="353" customFormat="false" ht="15" hidden="false" customHeight="false" outlineLevel="0" collapsed="false">
      <c r="A353" s="21"/>
      <c r="B353" s="22" t="str">
        <f aca="false">IF($A353="","",INDEX(Config!$F$2:$F$8,WEEKDAY($A353,2)))</f>
        <v/>
      </c>
      <c r="C353" s="23" t="str">
        <f aca="false">IF($A353="","",EOMONTH($A353,0))</f>
        <v/>
      </c>
      <c r="D353" s="24"/>
      <c r="E353" s="24"/>
      <c r="F353" s="25"/>
      <c r="G353" s="25"/>
      <c r="H353" s="26" t="str">
        <f aca="false">IF(OR($F353="",$G353=""),"",($G353-$F353+IF($G353&lt;$F353,1,0))*24)</f>
        <v/>
      </c>
      <c r="I353" s="27"/>
      <c r="J353" s="28"/>
      <c r="K353" s="29" t="str">
        <f aca="false">IF($J353="","",$J353*Config!$B$5)</f>
        <v/>
      </c>
      <c r="L353" s="28"/>
      <c r="M353" s="27"/>
      <c r="N353" s="28"/>
      <c r="O353" s="29" t="str">
        <f aca="false">IF($M353="","",$M353*Config!$B$6)</f>
        <v/>
      </c>
      <c r="P353" s="28"/>
      <c r="Q353" s="28"/>
      <c r="R353" s="30" t="str">
        <f aca="false">IF($J353="","",$J353-$K353+SUM($L353)-SUM($N353:$Q353))</f>
        <v/>
      </c>
      <c r="S353" s="30" t="str">
        <f aca="false">IF(OR($R353="",$H353="",$H353=0),"",$R353/$H353)</f>
        <v/>
      </c>
      <c r="T353" s="29" t="str">
        <f aca="false">IF(OR($R353="",$M353="",$M353=0),"",$R353/$M353)</f>
        <v/>
      </c>
      <c r="U353" s="26" t="str">
        <f aca="false">IF(OR($H353="",$H353=0,$I353=""),"",$I353/$H353)</f>
        <v/>
      </c>
      <c r="V353" s="24"/>
    </row>
    <row r="354" customFormat="false" ht="15" hidden="false" customHeight="false" outlineLevel="0" collapsed="false">
      <c r="A354" s="21"/>
      <c r="B354" s="22" t="str">
        <f aca="false">IF($A354="","",INDEX(Config!$F$2:$F$8,WEEKDAY($A354,2)))</f>
        <v/>
      </c>
      <c r="C354" s="23" t="str">
        <f aca="false">IF($A354="","",EOMONTH($A354,0))</f>
        <v/>
      </c>
      <c r="D354" s="24"/>
      <c r="E354" s="24"/>
      <c r="F354" s="25"/>
      <c r="G354" s="25"/>
      <c r="H354" s="26" t="str">
        <f aca="false">IF(OR($F354="",$G354=""),"",($G354-$F354+IF($G354&lt;$F354,1,0))*24)</f>
        <v/>
      </c>
      <c r="I354" s="27"/>
      <c r="J354" s="28"/>
      <c r="K354" s="29" t="str">
        <f aca="false">IF($J354="","",$J354*Config!$B$5)</f>
        <v/>
      </c>
      <c r="L354" s="28"/>
      <c r="M354" s="27"/>
      <c r="N354" s="28"/>
      <c r="O354" s="29" t="str">
        <f aca="false">IF($M354="","",$M354*Config!$B$6)</f>
        <v/>
      </c>
      <c r="P354" s="28"/>
      <c r="Q354" s="28"/>
      <c r="R354" s="30" t="str">
        <f aca="false">IF($J354="","",$J354-$K354+SUM($L354)-SUM($N354:$Q354))</f>
        <v/>
      </c>
      <c r="S354" s="30" t="str">
        <f aca="false">IF(OR($R354="",$H354="",$H354=0),"",$R354/$H354)</f>
        <v/>
      </c>
      <c r="T354" s="29" t="str">
        <f aca="false">IF(OR($R354="",$M354="",$M354=0),"",$R354/$M354)</f>
        <v/>
      </c>
      <c r="U354" s="26" t="str">
        <f aca="false">IF(OR($H354="",$H354=0,$I354=""),"",$I354/$H354)</f>
        <v/>
      </c>
      <c r="V354" s="24"/>
    </row>
    <row r="355" customFormat="false" ht="15" hidden="false" customHeight="false" outlineLevel="0" collapsed="false">
      <c r="A355" s="21"/>
      <c r="B355" s="22" t="str">
        <f aca="false">IF($A355="","",INDEX(Config!$F$2:$F$8,WEEKDAY($A355,2)))</f>
        <v/>
      </c>
      <c r="C355" s="23" t="str">
        <f aca="false">IF($A355="","",EOMONTH($A355,0))</f>
        <v/>
      </c>
      <c r="D355" s="24"/>
      <c r="E355" s="24"/>
      <c r="F355" s="25"/>
      <c r="G355" s="25"/>
      <c r="H355" s="26" t="str">
        <f aca="false">IF(OR($F355="",$G355=""),"",($G355-$F355+IF($G355&lt;$F355,1,0))*24)</f>
        <v/>
      </c>
      <c r="I355" s="27"/>
      <c r="J355" s="28"/>
      <c r="K355" s="29" t="str">
        <f aca="false">IF($J355="","",$J355*Config!$B$5)</f>
        <v/>
      </c>
      <c r="L355" s="28"/>
      <c r="M355" s="27"/>
      <c r="N355" s="28"/>
      <c r="O355" s="29" t="str">
        <f aca="false">IF($M355="","",$M355*Config!$B$6)</f>
        <v/>
      </c>
      <c r="P355" s="28"/>
      <c r="Q355" s="28"/>
      <c r="R355" s="30" t="str">
        <f aca="false">IF($J355="","",$J355-$K355+SUM($L355)-SUM($N355:$Q355))</f>
        <v/>
      </c>
      <c r="S355" s="30" t="str">
        <f aca="false">IF(OR($R355="",$H355="",$H355=0),"",$R355/$H355)</f>
        <v/>
      </c>
      <c r="T355" s="29" t="str">
        <f aca="false">IF(OR($R355="",$M355="",$M355=0),"",$R355/$M355)</f>
        <v/>
      </c>
      <c r="U355" s="26" t="str">
        <f aca="false">IF(OR($H355="",$H355=0,$I355=""),"",$I355/$H355)</f>
        <v/>
      </c>
      <c r="V355" s="24"/>
    </row>
    <row r="356" customFormat="false" ht="15" hidden="false" customHeight="false" outlineLevel="0" collapsed="false">
      <c r="A356" s="21"/>
      <c r="B356" s="22" t="str">
        <f aca="false">IF($A356="","",INDEX(Config!$F$2:$F$8,WEEKDAY($A356,2)))</f>
        <v/>
      </c>
      <c r="C356" s="23" t="str">
        <f aca="false">IF($A356="","",EOMONTH($A356,0))</f>
        <v/>
      </c>
      <c r="D356" s="24"/>
      <c r="E356" s="24"/>
      <c r="F356" s="25"/>
      <c r="G356" s="25"/>
      <c r="H356" s="26" t="str">
        <f aca="false">IF(OR($F356="",$G356=""),"",($G356-$F356+IF($G356&lt;$F356,1,0))*24)</f>
        <v/>
      </c>
      <c r="I356" s="27"/>
      <c r="J356" s="28"/>
      <c r="K356" s="29" t="str">
        <f aca="false">IF($J356="","",$J356*Config!$B$5)</f>
        <v/>
      </c>
      <c r="L356" s="28"/>
      <c r="M356" s="27"/>
      <c r="N356" s="28"/>
      <c r="O356" s="29" t="str">
        <f aca="false">IF($M356="","",$M356*Config!$B$6)</f>
        <v/>
      </c>
      <c r="P356" s="28"/>
      <c r="Q356" s="28"/>
      <c r="R356" s="30" t="str">
        <f aca="false">IF($J356="","",$J356-$K356+SUM($L356)-SUM($N356:$Q356))</f>
        <v/>
      </c>
      <c r="S356" s="30" t="str">
        <f aca="false">IF(OR($R356="",$H356="",$H356=0),"",$R356/$H356)</f>
        <v/>
      </c>
      <c r="T356" s="29" t="str">
        <f aca="false">IF(OR($R356="",$M356="",$M356=0),"",$R356/$M356)</f>
        <v/>
      </c>
      <c r="U356" s="26" t="str">
        <f aca="false">IF(OR($H356="",$H356=0,$I356=""),"",$I356/$H356)</f>
        <v/>
      </c>
      <c r="V356" s="24"/>
    </row>
    <row r="357" customFormat="false" ht="15" hidden="false" customHeight="false" outlineLevel="0" collapsed="false">
      <c r="A357" s="21"/>
      <c r="B357" s="22" t="str">
        <f aca="false">IF($A357="","",INDEX(Config!$F$2:$F$8,WEEKDAY($A357,2)))</f>
        <v/>
      </c>
      <c r="C357" s="23" t="str">
        <f aca="false">IF($A357="","",EOMONTH($A357,0))</f>
        <v/>
      </c>
      <c r="D357" s="24"/>
      <c r="E357" s="24"/>
      <c r="F357" s="25"/>
      <c r="G357" s="25"/>
      <c r="H357" s="26" t="str">
        <f aca="false">IF(OR($F357="",$G357=""),"",($G357-$F357+IF($G357&lt;$F357,1,0))*24)</f>
        <v/>
      </c>
      <c r="I357" s="27"/>
      <c r="J357" s="28"/>
      <c r="K357" s="29" t="str">
        <f aca="false">IF($J357="","",$J357*Config!$B$5)</f>
        <v/>
      </c>
      <c r="L357" s="28"/>
      <c r="M357" s="27"/>
      <c r="N357" s="28"/>
      <c r="O357" s="29" t="str">
        <f aca="false">IF($M357="","",$M357*Config!$B$6)</f>
        <v/>
      </c>
      <c r="P357" s="28"/>
      <c r="Q357" s="28"/>
      <c r="R357" s="30" t="str">
        <f aca="false">IF($J357="","",$J357-$K357+SUM($L357)-SUM($N357:$Q357))</f>
        <v/>
      </c>
      <c r="S357" s="30" t="str">
        <f aca="false">IF(OR($R357="",$H357="",$H357=0),"",$R357/$H357)</f>
        <v/>
      </c>
      <c r="T357" s="29" t="str">
        <f aca="false">IF(OR($R357="",$M357="",$M357=0),"",$R357/$M357)</f>
        <v/>
      </c>
      <c r="U357" s="26" t="str">
        <f aca="false">IF(OR($H357="",$H357=0,$I357=""),"",$I357/$H357)</f>
        <v/>
      </c>
      <c r="V357" s="24"/>
    </row>
    <row r="358" customFormat="false" ht="15" hidden="false" customHeight="false" outlineLevel="0" collapsed="false">
      <c r="A358" s="21"/>
      <c r="B358" s="22" t="str">
        <f aca="false">IF($A358="","",INDEX(Config!$F$2:$F$8,WEEKDAY($A358,2)))</f>
        <v/>
      </c>
      <c r="C358" s="23" t="str">
        <f aca="false">IF($A358="","",EOMONTH($A358,0))</f>
        <v/>
      </c>
      <c r="D358" s="24"/>
      <c r="E358" s="24"/>
      <c r="F358" s="25"/>
      <c r="G358" s="25"/>
      <c r="H358" s="26" t="str">
        <f aca="false">IF(OR($F358="",$G358=""),"",($G358-$F358+IF($G358&lt;$F358,1,0))*24)</f>
        <v/>
      </c>
      <c r="I358" s="27"/>
      <c r="J358" s="28"/>
      <c r="K358" s="29" t="str">
        <f aca="false">IF($J358="","",$J358*Config!$B$5)</f>
        <v/>
      </c>
      <c r="L358" s="28"/>
      <c r="M358" s="27"/>
      <c r="N358" s="28"/>
      <c r="O358" s="29" t="str">
        <f aca="false">IF($M358="","",$M358*Config!$B$6)</f>
        <v/>
      </c>
      <c r="P358" s="28"/>
      <c r="Q358" s="28"/>
      <c r="R358" s="30" t="str">
        <f aca="false">IF($J358="","",$J358-$K358+SUM($L358)-SUM($N358:$Q358))</f>
        <v/>
      </c>
      <c r="S358" s="30" t="str">
        <f aca="false">IF(OR($R358="",$H358="",$H358=0),"",$R358/$H358)</f>
        <v/>
      </c>
      <c r="T358" s="29" t="str">
        <f aca="false">IF(OR($R358="",$M358="",$M358=0),"",$R358/$M358)</f>
        <v/>
      </c>
      <c r="U358" s="26" t="str">
        <f aca="false">IF(OR($H358="",$H358=0,$I358=""),"",$I358/$H358)</f>
        <v/>
      </c>
      <c r="V358" s="24"/>
    </row>
    <row r="359" customFormat="false" ht="15" hidden="false" customHeight="false" outlineLevel="0" collapsed="false">
      <c r="A359" s="21"/>
      <c r="B359" s="22" t="str">
        <f aca="false">IF($A359="","",INDEX(Config!$F$2:$F$8,WEEKDAY($A359,2)))</f>
        <v/>
      </c>
      <c r="C359" s="23" t="str">
        <f aca="false">IF($A359="","",EOMONTH($A359,0))</f>
        <v/>
      </c>
      <c r="D359" s="24"/>
      <c r="E359" s="24"/>
      <c r="F359" s="25"/>
      <c r="G359" s="25"/>
      <c r="H359" s="26" t="str">
        <f aca="false">IF(OR($F359="",$G359=""),"",($G359-$F359+IF($G359&lt;$F359,1,0))*24)</f>
        <v/>
      </c>
      <c r="I359" s="27"/>
      <c r="J359" s="28"/>
      <c r="K359" s="29" t="str">
        <f aca="false">IF($J359="","",$J359*Config!$B$5)</f>
        <v/>
      </c>
      <c r="L359" s="28"/>
      <c r="M359" s="27"/>
      <c r="N359" s="28"/>
      <c r="O359" s="29" t="str">
        <f aca="false">IF($M359="","",$M359*Config!$B$6)</f>
        <v/>
      </c>
      <c r="P359" s="28"/>
      <c r="Q359" s="28"/>
      <c r="R359" s="30" t="str">
        <f aca="false">IF($J359="","",$J359-$K359+SUM($L359)-SUM($N359:$Q359))</f>
        <v/>
      </c>
      <c r="S359" s="30" t="str">
        <f aca="false">IF(OR($R359="",$H359="",$H359=0),"",$R359/$H359)</f>
        <v/>
      </c>
      <c r="T359" s="29" t="str">
        <f aca="false">IF(OR($R359="",$M359="",$M359=0),"",$R359/$M359)</f>
        <v/>
      </c>
      <c r="U359" s="26" t="str">
        <f aca="false">IF(OR($H359="",$H359=0,$I359=""),"",$I359/$H359)</f>
        <v/>
      </c>
      <c r="V359" s="24"/>
    </row>
    <row r="360" customFormat="false" ht="15" hidden="false" customHeight="false" outlineLevel="0" collapsed="false">
      <c r="A360" s="21"/>
      <c r="B360" s="22" t="str">
        <f aca="false">IF($A360="","",INDEX(Config!$F$2:$F$8,WEEKDAY($A360,2)))</f>
        <v/>
      </c>
      <c r="C360" s="23" t="str">
        <f aca="false">IF($A360="","",EOMONTH($A360,0))</f>
        <v/>
      </c>
      <c r="D360" s="24"/>
      <c r="E360" s="24"/>
      <c r="F360" s="25"/>
      <c r="G360" s="25"/>
      <c r="H360" s="26" t="str">
        <f aca="false">IF(OR($F360="",$G360=""),"",($G360-$F360+IF($G360&lt;$F360,1,0))*24)</f>
        <v/>
      </c>
      <c r="I360" s="27"/>
      <c r="J360" s="28"/>
      <c r="K360" s="29" t="str">
        <f aca="false">IF($J360="","",$J360*Config!$B$5)</f>
        <v/>
      </c>
      <c r="L360" s="28"/>
      <c r="M360" s="27"/>
      <c r="N360" s="28"/>
      <c r="O360" s="29" t="str">
        <f aca="false">IF($M360="","",$M360*Config!$B$6)</f>
        <v/>
      </c>
      <c r="P360" s="28"/>
      <c r="Q360" s="28"/>
      <c r="R360" s="30" t="str">
        <f aca="false">IF($J360="","",$J360-$K360+SUM($L360)-SUM($N360:$Q360))</f>
        <v/>
      </c>
      <c r="S360" s="30" t="str">
        <f aca="false">IF(OR($R360="",$H360="",$H360=0),"",$R360/$H360)</f>
        <v/>
      </c>
      <c r="T360" s="29" t="str">
        <f aca="false">IF(OR($R360="",$M360="",$M360=0),"",$R360/$M360)</f>
        <v/>
      </c>
      <c r="U360" s="26" t="str">
        <f aca="false">IF(OR($H360="",$H360=0,$I360=""),"",$I360/$H360)</f>
        <v/>
      </c>
      <c r="V360" s="24"/>
    </row>
    <row r="361" customFormat="false" ht="15" hidden="false" customHeight="false" outlineLevel="0" collapsed="false">
      <c r="A361" s="21"/>
      <c r="B361" s="22" t="str">
        <f aca="false">IF($A361="","",INDEX(Config!$F$2:$F$8,WEEKDAY($A361,2)))</f>
        <v/>
      </c>
      <c r="C361" s="23" t="str">
        <f aca="false">IF($A361="","",EOMONTH($A361,0))</f>
        <v/>
      </c>
      <c r="D361" s="24"/>
      <c r="E361" s="24"/>
      <c r="F361" s="25"/>
      <c r="G361" s="25"/>
      <c r="H361" s="26" t="str">
        <f aca="false">IF(OR($F361="",$G361=""),"",($G361-$F361+IF($G361&lt;$F361,1,0))*24)</f>
        <v/>
      </c>
      <c r="I361" s="27"/>
      <c r="J361" s="28"/>
      <c r="K361" s="29" t="str">
        <f aca="false">IF($J361="","",$J361*Config!$B$5)</f>
        <v/>
      </c>
      <c r="L361" s="28"/>
      <c r="M361" s="27"/>
      <c r="N361" s="28"/>
      <c r="O361" s="29" t="str">
        <f aca="false">IF($M361="","",$M361*Config!$B$6)</f>
        <v/>
      </c>
      <c r="P361" s="28"/>
      <c r="Q361" s="28"/>
      <c r="R361" s="30" t="str">
        <f aca="false">IF($J361="","",$J361-$K361+SUM($L361)-SUM($N361:$Q361))</f>
        <v/>
      </c>
      <c r="S361" s="30" t="str">
        <f aca="false">IF(OR($R361="",$H361="",$H361=0),"",$R361/$H361)</f>
        <v/>
      </c>
      <c r="T361" s="29" t="str">
        <f aca="false">IF(OR($R361="",$M361="",$M361=0),"",$R361/$M361)</f>
        <v/>
      </c>
      <c r="U361" s="26" t="str">
        <f aca="false">IF(OR($H361="",$H361=0,$I361=""),"",$I361/$H361)</f>
        <v/>
      </c>
      <c r="V361" s="24"/>
    </row>
    <row r="362" customFormat="false" ht="15" hidden="false" customHeight="false" outlineLevel="0" collapsed="false">
      <c r="A362" s="21"/>
      <c r="B362" s="22" t="str">
        <f aca="false">IF($A362="","",INDEX(Config!$F$2:$F$8,WEEKDAY($A362,2)))</f>
        <v/>
      </c>
      <c r="C362" s="23" t="str">
        <f aca="false">IF($A362="","",EOMONTH($A362,0))</f>
        <v/>
      </c>
      <c r="D362" s="24"/>
      <c r="E362" s="24"/>
      <c r="F362" s="25"/>
      <c r="G362" s="25"/>
      <c r="H362" s="26" t="str">
        <f aca="false">IF(OR($F362="",$G362=""),"",($G362-$F362+IF($G362&lt;$F362,1,0))*24)</f>
        <v/>
      </c>
      <c r="I362" s="27"/>
      <c r="J362" s="28"/>
      <c r="K362" s="29" t="str">
        <f aca="false">IF($J362="","",$J362*Config!$B$5)</f>
        <v/>
      </c>
      <c r="L362" s="28"/>
      <c r="M362" s="27"/>
      <c r="N362" s="28"/>
      <c r="O362" s="29" t="str">
        <f aca="false">IF($M362="","",$M362*Config!$B$6)</f>
        <v/>
      </c>
      <c r="P362" s="28"/>
      <c r="Q362" s="28"/>
      <c r="R362" s="30" t="str">
        <f aca="false">IF($J362="","",$J362-$K362+SUM($L362)-SUM($N362:$Q362))</f>
        <v/>
      </c>
      <c r="S362" s="30" t="str">
        <f aca="false">IF(OR($R362="",$H362="",$H362=0),"",$R362/$H362)</f>
        <v/>
      </c>
      <c r="T362" s="29" t="str">
        <f aca="false">IF(OR($R362="",$M362="",$M362=0),"",$R362/$M362)</f>
        <v/>
      </c>
      <c r="U362" s="26" t="str">
        <f aca="false">IF(OR($H362="",$H362=0,$I362=""),"",$I362/$H362)</f>
        <v/>
      </c>
      <c r="V362" s="24"/>
    </row>
    <row r="363" customFormat="false" ht="15" hidden="false" customHeight="false" outlineLevel="0" collapsed="false">
      <c r="A363" s="21"/>
      <c r="B363" s="22" t="str">
        <f aca="false">IF($A363="","",INDEX(Config!$F$2:$F$8,WEEKDAY($A363,2)))</f>
        <v/>
      </c>
      <c r="C363" s="23" t="str">
        <f aca="false">IF($A363="","",EOMONTH($A363,0))</f>
        <v/>
      </c>
      <c r="D363" s="24"/>
      <c r="E363" s="24"/>
      <c r="F363" s="25"/>
      <c r="G363" s="25"/>
      <c r="H363" s="26" t="str">
        <f aca="false">IF(OR($F363="",$G363=""),"",($G363-$F363+IF($G363&lt;$F363,1,0))*24)</f>
        <v/>
      </c>
      <c r="I363" s="27"/>
      <c r="J363" s="28"/>
      <c r="K363" s="29" t="str">
        <f aca="false">IF($J363="","",$J363*Config!$B$5)</f>
        <v/>
      </c>
      <c r="L363" s="28"/>
      <c r="M363" s="27"/>
      <c r="N363" s="28"/>
      <c r="O363" s="29" t="str">
        <f aca="false">IF($M363="","",$M363*Config!$B$6)</f>
        <v/>
      </c>
      <c r="P363" s="28"/>
      <c r="Q363" s="28"/>
      <c r="R363" s="30" t="str">
        <f aca="false">IF($J363="","",$J363-$K363+SUM($L363)-SUM($N363:$Q363))</f>
        <v/>
      </c>
      <c r="S363" s="30" t="str">
        <f aca="false">IF(OR($R363="",$H363="",$H363=0),"",$R363/$H363)</f>
        <v/>
      </c>
      <c r="T363" s="29" t="str">
        <f aca="false">IF(OR($R363="",$M363="",$M363=0),"",$R363/$M363)</f>
        <v/>
      </c>
      <c r="U363" s="26" t="str">
        <f aca="false">IF(OR($H363="",$H363=0,$I363=""),"",$I363/$H363)</f>
        <v/>
      </c>
      <c r="V363" s="24"/>
    </row>
    <row r="364" customFormat="false" ht="15" hidden="false" customHeight="false" outlineLevel="0" collapsed="false">
      <c r="A364" s="21"/>
      <c r="B364" s="22" t="str">
        <f aca="false">IF($A364="","",INDEX(Config!$F$2:$F$8,WEEKDAY($A364,2)))</f>
        <v/>
      </c>
      <c r="C364" s="23" t="str">
        <f aca="false">IF($A364="","",EOMONTH($A364,0))</f>
        <v/>
      </c>
      <c r="D364" s="24"/>
      <c r="E364" s="24"/>
      <c r="F364" s="25"/>
      <c r="G364" s="25"/>
      <c r="H364" s="26" t="str">
        <f aca="false">IF(OR($F364="",$G364=""),"",($G364-$F364+IF($G364&lt;$F364,1,0))*24)</f>
        <v/>
      </c>
      <c r="I364" s="27"/>
      <c r="J364" s="28"/>
      <c r="K364" s="29" t="str">
        <f aca="false">IF($J364="","",$J364*Config!$B$5)</f>
        <v/>
      </c>
      <c r="L364" s="28"/>
      <c r="M364" s="27"/>
      <c r="N364" s="28"/>
      <c r="O364" s="29" t="str">
        <f aca="false">IF($M364="","",$M364*Config!$B$6)</f>
        <v/>
      </c>
      <c r="P364" s="28"/>
      <c r="Q364" s="28"/>
      <c r="R364" s="30" t="str">
        <f aca="false">IF($J364="","",$J364-$K364+SUM($L364)-SUM($N364:$Q364))</f>
        <v/>
      </c>
      <c r="S364" s="30" t="str">
        <f aca="false">IF(OR($R364="",$H364="",$H364=0),"",$R364/$H364)</f>
        <v/>
      </c>
      <c r="T364" s="29" t="str">
        <f aca="false">IF(OR($R364="",$M364="",$M364=0),"",$R364/$M364)</f>
        <v/>
      </c>
      <c r="U364" s="26" t="str">
        <f aca="false">IF(OR($H364="",$H364=0,$I364=""),"",$I364/$H364)</f>
        <v/>
      </c>
      <c r="V364" s="24"/>
    </row>
    <row r="365" customFormat="false" ht="15" hidden="false" customHeight="false" outlineLevel="0" collapsed="false">
      <c r="A365" s="21"/>
      <c r="B365" s="22" t="str">
        <f aca="false">IF($A365="","",INDEX(Config!$F$2:$F$8,WEEKDAY($A365,2)))</f>
        <v/>
      </c>
      <c r="C365" s="23" t="str">
        <f aca="false">IF($A365="","",EOMONTH($A365,0))</f>
        <v/>
      </c>
      <c r="D365" s="24"/>
      <c r="E365" s="24"/>
      <c r="F365" s="25"/>
      <c r="G365" s="25"/>
      <c r="H365" s="26" t="str">
        <f aca="false">IF(OR($F365="",$G365=""),"",($G365-$F365+IF($G365&lt;$F365,1,0))*24)</f>
        <v/>
      </c>
      <c r="I365" s="27"/>
      <c r="J365" s="28"/>
      <c r="K365" s="29" t="str">
        <f aca="false">IF($J365="","",$J365*Config!$B$5)</f>
        <v/>
      </c>
      <c r="L365" s="28"/>
      <c r="M365" s="27"/>
      <c r="N365" s="28"/>
      <c r="O365" s="29" t="str">
        <f aca="false">IF($M365="","",$M365*Config!$B$6)</f>
        <v/>
      </c>
      <c r="P365" s="28"/>
      <c r="Q365" s="28"/>
      <c r="R365" s="30" t="str">
        <f aca="false">IF($J365="","",$J365-$K365+SUM($L365)-SUM($N365:$Q365))</f>
        <v/>
      </c>
      <c r="S365" s="30" t="str">
        <f aca="false">IF(OR($R365="",$H365="",$H365=0),"",$R365/$H365)</f>
        <v/>
      </c>
      <c r="T365" s="29" t="str">
        <f aca="false">IF(OR($R365="",$M365="",$M365=0),"",$R365/$M365)</f>
        <v/>
      </c>
      <c r="U365" s="26" t="str">
        <f aca="false">IF(OR($H365="",$H365=0,$I365=""),"",$I365/$H365)</f>
        <v/>
      </c>
      <c r="V365" s="24"/>
    </row>
    <row r="366" customFormat="false" ht="15" hidden="false" customHeight="false" outlineLevel="0" collapsed="false">
      <c r="A366" s="21"/>
      <c r="B366" s="22" t="str">
        <f aca="false">IF($A366="","",INDEX(Config!$F$2:$F$8,WEEKDAY($A366,2)))</f>
        <v/>
      </c>
      <c r="C366" s="23" t="str">
        <f aca="false">IF($A366="","",EOMONTH($A366,0))</f>
        <v/>
      </c>
      <c r="D366" s="24"/>
      <c r="E366" s="24"/>
      <c r="F366" s="25"/>
      <c r="G366" s="25"/>
      <c r="H366" s="26" t="str">
        <f aca="false">IF(OR($F366="",$G366=""),"",($G366-$F366+IF($G366&lt;$F366,1,0))*24)</f>
        <v/>
      </c>
      <c r="I366" s="27"/>
      <c r="J366" s="28"/>
      <c r="K366" s="29" t="str">
        <f aca="false">IF($J366="","",$J366*Config!$B$5)</f>
        <v/>
      </c>
      <c r="L366" s="28"/>
      <c r="M366" s="27"/>
      <c r="N366" s="28"/>
      <c r="O366" s="29" t="str">
        <f aca="false">IF($M366="","",$M366*Config!$B$6)</f>
        <v/>
      </c>
      <c r="P366" s="28"/>
      <c r="Q366" s="28"/>
      <c r="R366" s="30" t="str">
        <f aca="false">IF($J366="","",$J366-$K366+SUM($L366)-SUM($N366:$Q366))</f>
        <v/>
      </c>
      <c r="S366" s="30" t="str">
        <f aca="false">IF(OR($R366="",$H366="",$H366=0),"",$R366/$H366)</f>
        <v/>
      </c>
      <c r="T366" s="29" t="str">
        <f aca="false">IF(OR($R366="",$M366="",$M366=0),"",$R366/$M366)</f>
        <v/>
      </c>
      <c r="U366" s="26" t="str">
        <f aca="false">IF(OR($H366="",$H366=0,$I366=""),"",$I366/$H366)</f>
        <v/>
      </c>
      <c r="V366" s="24"/>
    </row>
    <row r="367" customFormat="false" ht="15" hidden="false" customHeight="false" outlineLevel="0" collapsed="false">
      <c r="A367" s="21"/>
      <c r="B367" s="22" t="str">
        <f aca="false">IF($A367="","",INDEX(Config!$F$2:$F$8,WEEKDAY($A367,2)))</f>
        <v/>
      </c>
      <c r="C367" s="23" t="str">
        <f aca="false">IF($A367="","",EOMONTH($A367,0))</f>
        <v/>
      </c>
      <c r="D367" s="24"/>
      <c r="E367" s="24"/>
      <c r="F367" s="25"/>
      <c r="G367" s="25"/>
      <c r="H367" s="26" t="str">
        <f aca="false">IF(OR($F367="",$G367=""),"",($G367-$F367+IF($G367&lt;$F367,1,0))*24)</f>
        <v/>
      </c>
      <c r="I367" s="27"/>
      <c r="J367" s="28"/>
      <c r="K367" s="29" t="str">
        <f aca="false">IF($J367="","",$J367*Config!$B$5)</f>
        <v/>
      </c>
      <c r="L367" s="28"/>
      <c r="M367" s="27"/>
      <c r="N367" s="28"/>
      <c r="O367" s="29" t="str">
        <f aca="false">IF($M367="","",$M367*Config!$B$6)</f>
        <v/>
      </c>
      <c r="P367" s="28"/>
      <c r="Q367" s="28"/>
      <c r="R367" s="30" t="str">
        <f aca="false">IF($J367="","",$J367-$K367+SUM($L367)-SUM($N367:$Q367))</f>
        <v/>
      </c>
      <c r="S367" s="30" t="str">
        <f aca="false">IF(OR($R367="",$H367="",$H367=0),"",$R367/$H367)</f>
        <v/>
      </c>
      <c r="T367" s="29" t="str">
        <f aca="false">IF(OR($R367="",$M367="",$M367=0),"",$R367/$M367)</f>
        <v/>
      </c>
      <c r="U367" s="26" t="str">
        <f aca="false">IF(OR($H367="",$H367=0,$I367=""),"",$I367/$H367)</f>
        <v/>
      </c>
      <c r="V367" s="24"/>
    </row>
    <row r="368" customFormat="false" ht="15" hidden="false" customHeight="false" outlineLevel="0" collapsed="false">
      <c r="A368" s="21"/>
      <c r="B368" s="22" t="str">
        <f aca="false">IF($A368="","",INDEX(Config!$F$2:$F$8,WEEKDAY($A368,2)))</f>
        <v/>
      </c>
      <c r="C368" s="23" t="str">
        <f aca="false">IF($A368="","",EOMONTH($A368,0))</f>
        <v/>
      </c>
      <c r="D368" s="24"/>
      <c r="E368" s="24"/>
      <c r="F368" s="25"/>
      <c r="G368" s="25"/>
      <c r="H368" s="26" t="str">
        <f aca="false">IF(OR($F368="",$G368=""),"",($G368-$F368+IF($G368&lt;$F368,1,0))*24)</f>
        <v/>
      </c>
      <c r="I368" s="27"/>
      <c r="J368" s="28"/>
      <c r="K368" s="29" t="str">
        <f aca="false">IF($J368="","",$J368*Config!$B$5)</f>
        <v/>
      </c>
      <c r="L368" s="28"/>
      <c r="M368" s="27"/>
      <c r="N368" s="28"/>
      <c r="O368" s="29" t="str">
        <f aca="false">IF($M368="","",$M368*Config!$B$6)</f>
        <v/>
      </c>
      <c r="P368" s="28"/>
      <c r="Q368" s="28"/>
      <c r="R368" s="30" t="str">
        <f aca="false">IF($J368="","",$J368-$K368+SUM($L368)-SUM($N368:$Q368))</f>
        <v/>
      </c>
      <c r="S368" s="30" t="str">
        <f aca="false">IF(OR($R368="",$H368="",$H368=0),"",$R368/$H368)</f>
        <v/>
      </c>
      <c r="T368" s="29" t="str">
        <f aca="false">IF(OR($R368="",$M368="",$M368=0),"",$R368/$M368)</f>
        <v/>
      </c>
      <c r="U368" s="26" t="str">
        <f aca="false">IF(OR($H368="",$H368=0,$I368=""),"",$I368/$H368)</f>
        <v/>
      </c>
      <c r="V368" s="24"/>
    </row>
    <row r="369" customFormat="false" ht="15" hidden="false" customHeight="false" outlineLevel="0" collapsed="false">
      <c r="A369" s="21"/>
      <c r="B369" s="22" t="str">
        <f aca="false">IF($A369="","",INDEX(Config!$F$2:$F$8,WEEKDAY($A369,2)))</f>
        <v/>
      </c>
      <c r="C369" s="23" t="str">
        <f aca="false">IF($A369="","",EOMONTH($A369,0))</f>
        <v/>
      </c>
      <c r="D369" s="24"/>
      <c r="E369" s="24"/>
      <c r="F369" s="25"/>
      <c r="G369" s="25"/>
      <c r="H369" s="26" t="str">
        <f aca="false">IF(OR($F369="",$G369=""),"",($G369-$F369+IF($G369&lt;$F369,1,0))*24)</f>
        <v/>
      </c>
      <c r="I369" s="27"/>
      <c r="J369" s="28"/>
      <c r="K369" s="29" t="str">
        <f aca="false">IF($J369="","",$J369*Config!$B$5)</f>
        <v/>
      </c>
      <c r="L369" s="28"/>
      <c r="M369" s="27"/>
      <c r="N369" s="28"/>
      <c r="O369" s="29" t="str">
        <f aca="false">IF($M369="","",$M369*Config!$B$6)</f>
        <v/>
      </c>
      <c r="P369" s="28"/>
      <c r="Q369" s="28"/>
      <c r="R369" s="30" t="str">
        <f aca="false">IF($J369="","",$J369-$K369+SUM($L369)-SUM($N369:$Q369))</f>
        <v/>
      </c>
      <c r="S369" s="30" t="str">
        <f aca="false">IF(OR($R369="",$H369="",$H369=0),"",$R369/$H369)</f>
        <v/>
      </c>
      <c r="T369" s="29" t="str">
        <f aca="false">IF(OR($R369="",$M369="",$M369=0),"",$R369/$M369)</f>
        <v/>
      </c>
      <c r="U369" s="26" t="str">
        <f aca="false">IF(OR($H369="",$H369=0,$I369=""),"",$I369/$H369)</f>
        <v/>
      </c>
      <c r="V369" s="24"/>
    </row>
    <row r="370" customFormat="false" ht="15" hidden="false" customHeight="false" outlineLevel="0" collapsed="false">
      <c r="A370" s="21"/>
      <c r="B370" s="22" t="str">
        <f aca="false">IF($A370="","",INDEX(Config!$F$2:$F$8,WEEKDAY($A370,2)))</f>
        <v/>
      </c>
      <c r="C370" s="23" t="str">
        <f aca="false">IF($A370="","",EOMONTH($A370,0))</f>
        <v/>
      </c>
      <c r="D370" s="24"/>
      <c r="E370" s="24"/>
      <c r="F370" s="25"/>
      <c r="G370" s="25"/>
      <c r="H370" s="26" t="str">
        <f aca="false">IF(OR($F370="",$G370=""),"",($G370-$F370+IF($G370&lt;$F370,1,0))*24)</f>
        <v/>
      </c>
      <c r="I370" s="27"/>
      <c r="J370" s="28"/>
      <c r="K370" s="29" t="str">
        <f aca="false">IF($J370="","",$J370*Config!$B$5)</f>
        <v/>
      </c>
      <c r="L370" s="28"/>
      <c r="M370" s="27"/>
      <c r="N370" s="28"/>
      <c r="O370" s="29" t="str">
        <f aca="false">IF($M370="","",$M370*Config!$B$6)</f>
        <v/>
      </c>
      <c r="P370" s="28"/>
      <c r="Q370" s="28"/>
      <c r="R370" s="30" t="str">
        <f aca="false">IF($J370="","",$J370-$K370+SUM($L370)-SUM($N370:$Q370))</f>
        <v/>
      </c>
      <c r="S370" s="30" t="str">
        <f aca="false">IF(OR($R370="",$H370="",$H370=0),"",$R370/$H370)</f>
        <v/>
      </c>
      <c r="T370" s="29" t="str">
        <f aca="false">IF(OR($R370="",$M370="",$M370=0),"",$R370/$M370)</f>
        <v/>
      </c>
      <c r="U370" s="26" t="str">
        <f aca="false">IF(OR($H370="",$H370=0,$I370=""),"",$I370/$H370)</f>
        <v/>
      </c>
      <c r="V370" s="24"/>
    </row>
    <row r="371" customFormat="false" ht="15" hidden="false" customHeight="false" outlineLevel="0" collapsed="false">
      <c r="A371" s="21"/>
      <c r="B371" s="22" t="str">
        <f aca="false">IF($A371="","",INDEX(Config!$F$2:$F$8,WEEKDAY($A371,2)))</f>
        <v/>
      </c>
      <c r="C371" s="23" t="str">
        <f aca="false">IF($A371="","",EOMONTH($A371,0))</f>
        <v/>
      </c>
      <c r="D371" s="24"/>
      <c r="E371" s="24"/>
      <c r="F371" s="25"/>
      <c r="G371" s="25"/>
      <c r="H371" s="26" t="str">
        <f aca="false">IF(OR($F371="",$G371=""),"",($G371-$F371+IF($G371&lt;$F371,1,0))*24)</f>
        <v/>
      </c>
      <c r="I371" s="27"/>
      <c r="J371" s="28"/>
      <c r="K371" s="29" t="str">
        <f aca="false">IF($J371="","",$J371*Config!$B$5)</f>
        <v/>
      </c>
      <c r="L371" s="28"/>
      <c r="M371" s="27"/>
      <c r="N371" s="28"/>
      <c r="O371" s="29" t="str">
        <f aca="false">IF($M371="","",$M371*Config!$B$6)</f>
        <v/>
      </c>
      <c r="P371" s="28"/>
      <c r="Q371" s="28"/>
      <c r="R371" s="30" t="str">
        <f aca="false">IF($J371="","",$J371-$K371+SUM($L371)-SUM($N371:$Q371))</f>
        <v/>
      </c>
      <c r="S371" s="30" t="str">
        <f aca="false">IF(OR($R371="",$H371="",$H371=0),"",$R371/$H371)</f>
        <v/>
      </c>
      <c r="T371" s="29" t="str">
        <f aca="false">IF(OR($R371="",$M371="",$M371=0),"",$R371/$M371)</f>
        <v/>
      </c>
      <c r="U371" s="26" t="str">
        <f aca="false">IF(OR($H371="",$H371=0,$I371=""),"",$I371/$H371)</f>
        <v/>
      </c>
      <c r="V371" s="24"/>
    </row>
    <row r="372" customFormat="false" ht="15" hidden="false" customHeight="false" outlineLevel="0" collapsed="false">
      <c r="A372" s="21"/>
      <c r="B372" s="22" t="str">
        <f aca="false">IF($A372="","",INDEX(Config!$F$2:$F$8,WEEKDAY($A372,2)))</f>
        <v/>
      </c>
      <c r="C372" s="23" t="str">
        <f aca="false">IF($A372="","",EOMONTH($A372,0))</f>
        <v/>
      </c>
      <c r="D372" s="24"/>
      <c r="E372" s="24"/>
      <c r="F372" s="25"/>
      <c r="G372" s="25"/>
      <c r="H372" s="26" t="str">
        <f aca="false">IF(OR($F372="",$G372=""),"",($G372-$F372+IF($G372&lt;$F372,1,0))*24)</f>
        <v/>
      </c>
      <c r="I372" s="27"/>
      <c r="J372" s="28"/>
      <c r="K372" s="29" t="str">
        <f aca="false">IF($J372="","",$J372*Config!$B$5)</f>
        <v/>
      </c>
      <c r="L372" s="28"/>
      <c r="M372" s="27"/>
      <c r="N372" s="28"/>
      <c r="O372" s="29" t="str">
        <f aca="false">IF($M372="","",$M372*Config!$B$6)</f>
        <v/>
      </c>
      <c r="P372" s="28"/>
      <c r="Q372" s="28"/>
      <c r="R372" s="30" t="str">
        <f aca="false">IF($J372="","",$J372-$K372+SUM($L372)-SUM($N372:$Q372))</f>
        <v/>
      </c>
      <c r="S372" s="30" t="str">
        <f aca="false">IF(OR($R372="",$H372="",$H372=0),"",$R372/$H372)</f>
        <v/>
      </c>
      <c r="T372" s="29" t="str">
        <f aca="false">IF(OR($R372="",$M372="",$M372=0),"",$R372/$M372)</f>
        <v/>
      </c>
      <c r="U372" s="26" t="str">
        <f aca="false">IF(OR($H372="",$H372=0,$I372=""),"",$I372/$H372)</f>
        <v/>
      </c>
      <c r="V372" s="24"/>
    </row>
    <row r="373" customFormat="false" ht="15" hidden="false" customHeight="false" outlineLevel="0" collapsed="false">
      <c r="A373" s="21"/>
      <c r="B373" s="22" t="str">
        <f aca="false">IF($A373="","",INDEX(Config!$F$2:$F$8,WEEKDAY($A373,2)))</f>
        <v/>
      </c>
      <c r="C373" s="23" t="str">
        <f aca="false">IF($A373="","",EOMONTH($A373,0))</f>
        <v/>
      </c>
      <c r="D373" s="24"/>
      <c r="E373" s="24"/>
      <c r="F373" s="25"/>
      <c r="G373" s="25"/>
      <c r="H373" s="26" t="str">
        <f aca="false">IF(OR($F373="",$G373=""),"",($G373-$F373+IF($G373&lt;$F373,1,0))*24)</f>
        <v/>
      </c>
      <c r="I373" s="27"/>
      <c r="J373" s="28"/>
      <c r="K373" s="29" t="str">
        <f aca="false">IF($J373="","",$J373*Config!$B$5)</f>
        <v/>
      </c>
      <c r="L373" s="28"/>
      <c r="M373" s="27"/>
      <c r="N373" s="28"/>
      <c r="O373" s="29" t="str">
        <f aca="false">IF($M373="","",$M373*Config!$B$6)</f>
        <v/>
      </c>
      <c r="P373" s="28"/>
      <c r="Q373" s="28"/>
      <c r="R373" s="30" t="str">
        <f aca="false">IF($J373="","",$J373-$K373+SUM($L373)-SUM($N373:$Q373))</f>
        <v/>
      </c>
      <c r="S373" s="30" t="str">
        <f aca="false">IF(OR($R373="",$H373="",$H373=0),"",$R373/$H373)</f>
        <v/>
      </c>
      <c r="T373" s="29" t="str">
        <f aca="false">IF(OR($R373="",$M373="",$M373=0),"",$R373/$M373)</f>
        <v/>
      </c>
      <c r="U373" s="26" t="str">
        <f aca="false">IF(OR($H373="",$H373=0,$I373=""),"",$I373/$H373)</f>
        <v/>
      </c>
      <c r="V373" s="24"/>
    </row>
    <row r="374" customFormat="false" ht="15" hidden="false" customHeight="false" outlineLevel="0" collapsed="false">
      <c r="A374" s="21"/>
      <c r="B374" s="22" t="str">
        <f aca="false">IF($A374="","",INDEX(Config!$F$2:$F$8,WEEKDAY($A374,2)))</f>
        <v/>
      </c>
      <c r="C374" s="23" t="str">
        <f aca="false">IF($A374="","",EOMONTH($A374,0))</f>
        <v/>
      </c>
      <c r="D374" s="24"/>
      <c r="E374" s="24"/>
      <c r="F374" s="25"/>
      <c r="G374" s="25"/>
      <c r="H374" s="26" t="str">
        <f aca="false">IF(OR($F374="",$G374=""),"",($G374-$F374+IF($G374&lt;$F374,1,0))*24)</f>
        <v/>
      </c>
      <c r="I374" s="27"/>
      <c r="J374" s="28"/>
      <c r="K374" s="29" t="str">
        <f aca="false">IF($J374="","",$J374*Config!$B$5)</f>
        <v/>
      </c>
      <c r="L374" s="28"/>
      <c r="M374" s="27"/>
      <c r="N374" s="28"/>
      <c r="O374" s="29" t="str">
        <f aca="false">IF($M374="","",$M374*Config!$B$6)</f>
        <v/>
      </c>
      <c r="P374" s="28"/>
      <c r="Q374" s="28"/>
      <c r="R374" s="30" t="str">
        <f aca="false">IF($J374="","",$J374-$K374+SUM($L374)-SUM($N374:$Q374))</f>
        <v/>
      </c>
      <c r="S374" s="30" t="str">
        <f aca="false">IF(OR($R374="",$H374="",$H374=0),"",$R374/$H374)</f>
        <v/>
      </c>
      <c r="T374" s="29" t="str">
        <f aca="false">IF(OR($R374="",$M374="",$M374=0),"",$R374/$M374)</f>
        <v/>
      </c>
      <c r="U374" s="26" t="str">
        <f aca="false">IF(OR($H374="",$H374=0,$I374=""),"",$I374/$H374)</f>
        <v/>
      </c>
      <c r="V374" s="24"/>
    </row>
    <row r="375" customFormat="false" ht="15" hidden="false" customHeight="false" outlineLevel="0" collapsed="false">
      <c r="A375" s="21"/>
      <c r="B375" s="22" t="str">
        <f aca="false">IF($A375="","",INDEX(Config!$F$2:$F$8,WEEKDAY($A375,2)))</f>
        <v/>
      </c>
      <c r="C375" s="23" t="str">
        <f aca="false">IF($A375="","",EOMONTH($A375,0))</f>
        <v/>
      </c>
      <c r="D375" s="24"/>
      <c r="E375" s="24"/>
      <c r="F375" s="25"/>
      <c r="G375" s="25"/>
      <c r="H375" s="26" t="str">
        <f aca="false">IF(OR($F375="",$G375=""),"",($G375-$F375+IF($G375&lt;$F375,1,0))*24)</f>
        <v/>
      </c>
      <c r="I375" s="27"/>
      <c r="J375" s="28"/>
      <c r="K375" s="29" t="str">
        <f aca="false">IF($J375="","",$J375*Config!$B$5)</f>
        <v/>
      </c>
      <c r="L375" s="28"/>
      <c r="M375" s="27"/>
      <c r="N375" s="28"/>
      <c r="O375" s="29" t="str">
        <f aca="false">IF($M375="","",$M375*Config!$B$6)</f>
        <v/>
      </c>
      <c r="P375" s="28"/>
      <c r="Q375" s="28"/>
      <c r="R375" s="30" t="str">
        <f aca="false">IF($J375="","",$J375-$K375+SUM($L375)-SUM($N375:$Q375))</f>
        <v/>
      </c>
      <c r="S375" s="30" t="str">
        <f aca="false">IF(OR($R375="",$H375="",$H375=0),"",$R375/$H375)</f>
        <v/>
      </c>
      <c r="T375" s="29" t="str">
        <f aca="false">IF(OR($R375="",$M375="",$M375=0),"",$R375/$M375)</f>
        <v/>
      </c>
      <c r="U375" s="26" t="str">
        <f aca="false">IF(OR($H375="",$H375=0,$I375=""),"",$I375/$H375)</f>
        <v/>
      </c>
      <c r="V375" s="24"/>
    </row>
    <row r="376" customFormat="false" ht="15" hidden="false" customHeight="false" outlineLevel="0" collapsed="false">
      <c r="A376" s="21"/>
      <c r="B376" s="22" t="str">
        <f aca="false">IF($A376="","",INDEX(Config!$F$2:$F$8,WEEKDAY($A376,2)))</f>
        <v/>
      </c>
      <c r="C376" s="23" t="str">
        <f aca="false">IF($A376="","",EOMONTH($A376,0))</f>
        <v/>
      </c>
      <c r="D376" s="24"/>
      <c r="E376" s="24"/>
      <c r="F376" s="25"/>
      <c r="G376" s="25"/>
      <c r="H376" s="26" t="str">
        <f aca="false">IF(OR($F376="",$G376=""),"",($G376-$F376+IF($G376&lt;$F376,1,0))*24)</f>
        <v/>
      </c>
      <c r="I376" s="27"/>
      <c r="J376" s="28"/>
      <c r="K376" s="29" t="str">
        <f aca="false">IF($J376="","",$J376*Config!$B$5)</f>
        <v/>
      </c>
      <c r="L376" s="28"/>
      <c r="M376" s="27"/>
      <c r="N376" s="28"/>
      <c r="O376" s="29" t="str">
        <f aca="false">IF($M376="","",$M376*Config!$B$6)</f>
        <v/>
      </c>
      <c r="P376" s="28"/>
      <c r="Q376" s="28"/>
      <c r="R376" s="30" t="str">
        <f aca="false">IF($J376="","",$J376-$K376+SUM($L376)-SUM($N376:$Q376))</f>
        <v/>
      </c>
      <c r="S376" s="30" t="str">
        <f aca="false">IF(OR($R376="",$H376="",$H376=0),"",$R376/$H376)</f>
        <v/>
      </c>
      <c r="T376" s="29" t="str">
        <f aca="false">IF(OR($R376="",$M376="",$M376=0),"",$R376/$M376)</f>
        <v/>
      </c>
      <c r="U376" s="26" t="str">
        <f aca="false">IF(OR($H376="",$H376=0,$I376=""),"",$I376/$H376)</f>
        <v/>
      </c>
      <c r="V376" s="24"/>
    </row>
    <row r="377" customFormat="false" ht="15" hidden="false" customHeight="false" outlineLevel="0" collapsed="false">
      <c r="A377" s="21"/>
      <c r="B377" s="22" t="str">
        <f aca="false">IF($A377="","",INDEX(Config!$F$2:$F$8,WEEKDAY($A377,2)))</f>
        <v/>
      </c>
      <c r="C377" s="23" t="str">
        <f aca="false">IF($A377="","",EOMONTH($A377,0))</f>
        <v/>
      </c>
      <c r="D377" s="24"/>
      <c r="E377" s="24"/>
      <c r="F377" s="25"/>
      <c r="G377" s="25"/>
      <c r="H377" s="26" t="str">
        <f aca="false">IF(OR($F377="",$G377=""),"",($G377-$F377+IF($G377&lt;$F377,1,0))*24)</f>
        <v/>
      </c>
      <c r="I377" s="27"/>
      <c r="J377" s="28"/>
      <c r="K377" s="29" t="str">
        <f aca="false">IF($J377="","",$J377*Config!$B$5)</f>
        <v/>
      </c>
      <c r="L377" s="28"/>
      <c r="M377" s="27"/>
      <c r="N377" s="28"/>
      <c r="O377" s="29" t="str">
        <f aca="false">IF($M377="","",$M377*Config!$B$6)</f>
        <v/>
      </c>
      <c r="P377" s="28"/>
      <c r="Q377" s="28"/>
      <c r="R377" s="30" t="str">
        <f aca="false">IF($J377="","",$J377-$K377+SUM($L377)-SUM($N377:$Q377))</f>
        <v/>
      </c>
      <c r="S377" s="30" t="str">
        <f aca="false">IF(OR($R377="",$H377="",$H377=0),"",$R377/$H377)</f>
        <v/>
      </c>
      <c r="T377" s="29" t="str">
        <f aca="false">IF(OR($R377="",$M377="",$M377=0),"",$R377/$M377)</f>
        <v/>
      </c>
      <c r="U377" s="26" t="str">
        <f aca="false">IF(OR($H377="",$H377=0,$I377=""),"",$I377/$H377)</f>
        <v/>
      </c>
      <c r="V377" s="24"/>
    </row>
    <row r="378" customFormat="false" ht="15" hidden="false" customHeight="false" outlineLevel="0" collapsed="false">
      <c r="A378" s="21"/>
      <c r="B378" s="22" t="str">
        <f aca="false">IF($A378="","",INDEX(Config!$F$2:$F$8,WEEKDAY($A378,2)))</f>
        <v/>
      </c>
      <c r="C378" s="23" t="str">
        <f aca="false">IF($A378="","",EOMONTH($A378,0))</f>
        <v/>
      </c>
      <c r="D378" s="24"/>
      <c r="E378" s="24"/>
      <c r="F378" s="25"/>
      <c r="G378" s="25"/>
      <c r="H378" s="26" t="str">
        <f aca="false">IF(OR($F378="",$G378=""),"",($G378-$F378+IF($G378&lt;$F378,1,0))*24)</f>
        <v/>
      </c>
      <c r="I378" s="27"/>
      <c r="J378" s="28"/>
      <c r="K378" s="29" t="str">
        <f aca="false">IF($J378="","",$J378*Config!$B$5)</f>
        <v/>
      </c>
      <c r="L378" s="28"/>
      <c r="M378" s="27"/>
      <c r="N378" s="28"/>
      <c r="O378" s="29" t="str">
        <f aca="false">IF($M378="","",$M378*Config!$B$6)</f>
        <v/>
      </c>
      <c r="P378" s="28"/>
      <c r="Q378" s="28"/>
      <c r="R378" s="30" t="str">
        <f aca="false">IF($J378="","",$J378-$K378+SUM($L378)-SUM($N378:$Q378))</f>
        <v/>
      </c>
      <c r="S378" s="30" t="str">
        <f aca="false">IF(OR($R378="",$H378="",$H378=0),"",$R378/$H378)</f>
        <v/>
      </c>
      <c r="T378" s="29" t="str">
        <f aca="false">IF(OR($R378="",$M378="",$M378=0),"",$R378/$M378)</f>
        <v/>
      </c>
      <c r="U378" s="26" t="str">
        <f aca="false">IF(OR($H378="",$H378=0,$I378=""),"",$I378/$H378)</f>
        <v/>
      </c>
      <c r="V378" s="24"/>
    </row>
    <row r="379" customFormat="false" ht="15" hidden="false" customHeight="false" outlineLevel="0" collapsed="false">
      <c r="A379" s="21"/>
      <c r="B379" s="22" t="str">
        <f aca="false">IF($A379="","",INDEX(Config!$F$2:$F$8,WEEKDAY($A379,2)))</f>
        <v/>
      </c>
      <c r="C379" s="23" t="str">
        <f aca="false">IF($A379="","",EOMONTH($A379,0))</f>
        <v/>
      </c>
      <c r="D379" s="24"/>
      <c r="E379" s="24"/>
      <c r="F379" s="25"/>
      <c r="G379" s="25"/>
      <c r="H379" s="26" t="str">
        <f aca="false">IF(OR($F379="",$G379=""),"",($G379-$F379+IF($G379&lt;$F379,1,0))*24)</f>
        <v/>
      </c>
      <c r="I379" s="27"/>
      <c r="J379" s="28"/>
      <c r="K379" s="29" t="str">
        <f aca="false">IF($J379="","",$J379*Config!$B$5)</f>
        <v/>
      </c>
      <c r="L379" s="28"/>
      <c r="M379" s="27"/>
      <c r="N379" s="28"/>
      <c r="O379" s="29" t="str">
        <f aca="false">IF($M379="","",$M379*Config!$B$6)</f>
        <v/>
      </c>
      <c r="P379" s="28"/>
      <c r="Q379" s="28"/>
      <c r="R379" s="30" t="str">
        <f aca="false">IF($J379="","",$J379-$K379+SUM($L379)-SUM($N379:$Q379))</f>
        <v/>
      </c>
      <c r="S379" s="30" t="str">
        <f aca="false">IF(OR($R379="",$H379="",$H379=0),"",$R379/$H379)</f>
        <v/>
      </c>
      <c r="T379" s="29" t="str">
        <f aca="false">IF(OR($R379="",$M379="",$M379=0),"",$R379/$M379)</f>
        <v/>
      </c>
      <c r="U379" s="26" t="str">
        <f aca="false">IF(OR($H379="",$H379=0,$I379=""),"",$I379/$H379)</f>
        <v/>
      </c>
      <c r="V379" s="24"/>
    </row>
    <row r="380" customFormat="false" ht="15" hidden="false" customHeight="false" outlineLevel="0" collapsed="false">
      <c r="A380" s="21"/>
      <c r="B380" s="22" t="str">
        <f aca="false">IF($A380="","",INDEX(Config!$F$2:$F$8,WEEKDAY($A380,2)))</f>
        <v/>
      </c>
      <c r="C380" s="23" t="str">
        <f aca="false">IF($A380="","",EOMONTH($A380,0))</f>
        <v/>
      </c>
      <c r="D380" s="24"/>
      <c r="E380" s="24"/>
      <c r="F380" s="25"/>
      <c r="G380" s="25"/>
      <c r="H380" s="26" t="str">
        <f aca="false">IF(OR($F380="",$G380=""),"",($G380-$F380+IF($G380&lt;$F380,1,0))*24)</f>
        <v/>
      </c>
      <c r="I380" s="27"/>
      <c r="J380" s="28"/>
      <c r="K380" s="29" t="str">
        <f aca="false">IF($J380="","",$J380*Config!$B$5)</f>
        <v/>
      </c>
      <c r="L380" s="28"/>
      <c r="M380" s="27"/>
      <c r="N380" s="28"/>
      <c r="O380" s="29" t="str">
        <f aca="false">IF($M380="","",$M380*Config!$B$6)</f>
        <v/>
      </c>
      <c r="P380" s="28"/>
      <c r="Q380" s="28"/>
      <c r="R380" s="30" t="str">
        <f aca="false">IF($J380="","",$J380-$K380+SUM($L380)-SUM($N380:$Q380))</f>
        <v/>
      </c>
      <c r="S380" s="30" t="str">
        <f aca="false">IF(OR($R380="",$H380="",$H380=0),"",$R380/$H380)</f>
        <v/>
      </c>
      <c r="T380" s="29" t="str">
        <f aca="false">IF(OR($R380="",$M380="",$M380=0),"",$R380/$M380)</f>
        <v/>
      </c>
      <c r="U380" s="26" t="str">
        <f aca="false">IF(OR($H380="",$H380=0,$I380=""),"",$I380/$H380)</f>
        <v/>
      </c>
      <c r="V380" s="24"/>
    </row>
    <row r="381" customFormat="false" ht="15" hidden="false" customHeight="false" outlineLevel="0" collapsed="false">
      <c r="A381" s="21"/>
      <c r="B381" s="22" t="str">
        <f aca="false">IF($A381="","",INDEX(Config!$F$2:$F$8,WEEKDAY($A381,2)))</f>
        <v/>
      </c>
      <c r="C381" s="23" t="str">
        <f aca="false">IF($A381="","",EOMONTH($A381,0))</f>
        <v/>
      </c>
      <c r="D381" s="24"/>
      <c r="E381" s="24"/>
      <c r="F381" s="25"/>
      <c r="G381" s="25"/>
      <c r="H381" s="26" t="str">
        <f aca="false">IF(OR($F381="",$G381=""),"",($G381-$F381+IF($G381&lt;$F381,1,0))*24)</f>
        <v/>
      </c>
      <c r="I381" s="27"/>
      <c r="J381" s="28"/>
      <c r="K381" s="29" t="str">
        <f aca="false">IF($J381="","",$J381*Config!$B$5)</f>
        <v/>
      </c>
      <c r="L381" s="28"/>
      <c r="M381" s="27"/>
      <c r="N381" s="28"/>
      <c r="O381" s="29" t="str">
        <f aca="false">IF($M381="","",$M381*Config!$B$6)</f>
        <v/>
      </c>
      <c r="P381" s="28"/>
      <c r="Q381" s="28"/>
      <c r="R381" s="30" t="str">
        <f aca="false">IF($J381="","",$J381-$K381+SUM($L381)-SUM($N381:$Q381))</f>
        <v/>
      </c>
      <c r="S381" s="30" t="str">
        <f aca="false">IF(OR($R381="",$H381="",$H381=0),"",$R381/$H381)</f>
        <v/>
      </c>
      <c r="T381" s="29" t="str">
        <f aca="false">IF(OR($R381="",$M381="",$M381=0),"",$R381/$M381)</f>
        <v/>
      </c>
      <c r="U381" s="26" t="str">
        <f aca="false">IF(OR($H381="",$H381=0,$I381=""),"",$I381/$H381)</f>
        <v/>
      </c>
      <c r="V381" s="24"/>
    </row>
    <row r="382" customFormat="false" ht="15" hidden="false" customHeight="false" outlineLevel="0" collapsed="false">
      <c r="A382" s="21"/>
      <c r="B382" s="22" t="str">
        <f aca="false">IF($A382="","",INDEX(Config!$F$2:$F$8,WEEKDAY($A382,2)))</f>
        <v/>
      </c>
      <c r="C382" s="23" t="str">
        <f aca="false">IF($A382="","",EOMONTH($A382,0))</f>
        <v/>
      </c>
      <c r="D382" s="24"/>
      <c r="E382" s="24"/>
      <c r="F382" s="25"/>
      <c r="G382" s="25"/>
      <c r="H382" s="26" t="str">
        <f aca="false">IF(OR($F382="",$G382=""),"",($G382-$F382+IF($G382&lt;$F382,1,0))*24)</f>
        <v/>
      </c>
      <c r="I382" s="27"/>
      <c r="J382" s="28"/>
      <c r="K382" s="29" t="str">
        <f aca="false">IF($J382="","",$J382*Config!$B$5)</f>
        <v/>
      </c>
      <c r="L382" s="28"/>
      <c r="M382" s="27"/>
      <c r="N382" s="28"/>
      <c r="O382" s="29" t="str">
        <f aca="false">IF($M382="","",$M382*Config!$B$6)</f>
        <v/>
      </c>
      <c r="P382" s="28"/>
      <c r="Q382" s="28"/>
      <c r="R382" s="30" t="str">
        <f aca="false">IF($J382="","",$J382-$K382+SUM($L382)-SUM($N382:$Q382))</f>
        <v/>
      </c>
      <c r="S382" s="30" t="str">
        <f aca="false">IF(OR($R382="",$H382="",$H382=0),"",$R382/$H382)</f>
        <v/>
      </c>
      <c r="T382" s="29" t="str">
        <f aca="false">IF(OR($R382="",$M382="",$M382=0),"",$R382/$M382)</f>
        <v/>
      </c>
      <c r="U382" s="26" t="str">
        <f aca="false">IF(OR($H382="",$H382=0,$I382=""),"",$I382/$H382)</f>
        <v/>
      </c>
      <c r="V382" s="24"/>
    </row>
    <row r="383" customFormat="false" ht="15" hidden="false" customHeight="false" outlineLevel="0" collapsed="false">
      <c r="A383" s="21"/>
      <c r="B383" s="22" t="str">
        <f aca="false">IF($A383="","",INDEX(Config!$F$2:$F$8,WEEKDAY($A383,2)))</f>
        <v/>
      </c>
      <c r="C383" s="23" t="str">
        <f aca="false">IF($A383="","",EOMONTH($A383,0))</f>
        <v/>
      </c>
      <c r="D383" s="24"/>
      <c r="E383" s="24"/>
      <c r="F383" s="25"/>
      <c r="G383" s="25"/>
      <c r="H383" s="26" t="str">
        <f aca="false">IF(OR($F383="",$G383=""),"",($G383-$F383+IF($G383&lt;$F383,1,0))*24)</f>
        <v/>
      </c>
      <c r="I383" s="27"/>
      <c r="J383" s="28"/>
      <c r="K383" s="29" t="str">
        <f aca="false">IF($J383="","",$J383*Config!$B$5)</f>
        <v/>
      </c>
      <c r="L383" s="28"/>
      <c r="M383" s="27"/>
      <c r="N383" s="28"/>
      <c r="O383" s="29" t="str">
        <f aca="false">IF($M383="","",$M383*Config!$B$6)</f>
        <v/>
      </c>
      <c r="P383" s="28"/>
      <c r="Q383" s="28"/>
      <c r="R383" s="30" t="str">
        <f aca="false">IF($J383="","",$J383-$K383+SUM($L383)-SUM($N383:$Q383))</f>
        <v/>
      </c>
      <c r="S383" s="30" t="str">
        <f aca="false">IF(OR($R383="",$H383="",$H383=0),"",$R383/$H383)</f>
        <v/>
      </c>
      <c r="T383" s="29" t="str">
        <f aca="false">IF(OR($R383="",$M383="",$M383=0),"",$R383/$M383)</f>
        <v/>
      </c>
      <c r="U383" s="26" t="str">
        <f aca="false">IF(OR($H383="",$H383=0,$I383=""),"",$I383/$H383)</f>
        <v/>
      </c>
      <c r="V383" s="24"/>
    </row>
    <row r="384" customFormat="false" ht="15" hidden="false" customHeight="false" outlineLevel="0" collapsed="false">
      <c r="A384" s="21"/>
      <c r="B384" s="22" t="str">
        <f aca="false">IF($A384="","",INDEX(Config!$F$2:$F$8,WEEKDAY($A384,2)))</f>
        <v/>
      </c>
      <c r="C384" s="23" t="str">
        <f aca="false">IF($A384="","",EOMONTH($A384,0))</f>
        <v/>
      </c>
      <c r="D384" s="24"/>
      <c r="E384" s="24"/>
      <c r="F384" s="25"/>
      <c r="G384" s="25"/>
      <c r="H384" s="26" t="str">
        <f aca="false">IF(OR($F384="",$G384=""),"",($G384-$F384+IF($G384&lt;$F384,1,0))*24)</f>
        <v/>
      </c>
      <c r="I384" s="27"/>
      <c r="J384" s="28"/>
      <c r="K384" s="29" t="str">
        <f aca="false">IF($J384="","",$J384*Config!$B$5)</f>
        <v/>
      </c>
      <c r="L384" s="28"/>
      <c r="M384" s="27"/>
      <c r="N384" s="28"/>
      <c r="O384" s="29" t="str">
        <f aca="false">IF($M384="","",$M384*Config!$B$6)</f>
        <v/>
      </c>
      <c r="P384" s="28"/>
      <c r="Q384" s="28"/>
      <c r="R384" s="30" t="str">
        <f aca="false">IF($J384="","",$J384-$K384+SUM($L384)-SUM($N384:$Q384))</f>
        <v/>
      </c>
      <c r="S384" s="30" t="str">
        <f aca="false">IF(OR($R384="",$H384="",$H384=0),"",$R384/$H384)</f>
        <v/>
      </c>
      <c r="T384" s="29" t="str">
        <f aca="false">IF(OR($R384="",$M384="",$M384=0),"",$R384/$M384)</f>
        <v/>
      </c>
      <c r="U384" s="26" t="str">
        <f aca="false">IF(OR($H384="",$H384=0,$I384=""),"",$I384/$H384)</f>
        <v/>
      </c>
      <c r="V384" s="24"/>
    </row>
    <row r="385" customFormat="false" ht="15" hidden="false" customHeight="false" outlineLevel="0" collapsed="false">
      <c r="A385" s="21"/>
      <c r="B385" s="22" t="str">
        <f aca="false">IF($A385="","",INDEX(Config!$F$2:$F$8,WEEKDAY($A385,2)))</f>
        <v/>
      </c>
      <c r="C385" s="23" t="str">
        <f aca="false">IF($A385="","",EOMONTH($A385,0))</f>
        <v/>
      </c>
      <c r="D385" s="24"/>
      <c r="E385" s="24"/>
      <c r="F385" s="25"/>
      <c r="G385" s="25"/>
      <c r="H385" s="26" t="str">
        <f aca="false">IF(OR($F385="",$G385=""),"",($G385-$F385+IF($G385&lt;$F385,1,0))*24)</f>
        <v/>
      </c>
      <c r="I385" s="27"/>
      <c r="J385" s="28"/>
      <c r="K385" s="29" t="str">
        <f aca="false">IF($J385="","",$J385*Config!$B$5)</f>
        <v/>
      </c>
      <c r="L385" s="28"/>
      <c r="M385" s="27"/>
      <c r="N385" s="28"/>
      <c r="O385" s="29" t="str">
        <f aca="false">IF($M385="","",$M385*Config!$B$6)</f>
        <v/>
      </c>
      <c r="P385" s="28"/>
      <c r="Q385" s="28"/>
      <c r="R385" s="30" t="str">
        <f aca="false">IF($J385="","",$J385-$K385+SUM($L385)-SUM($N385:$Q385))</f>
        <v/>
      </c>
      <c r="S385" s="30" t="str">
        <f aca="false">IF(OR($R385="",$H385="",$H385=0),"",$R385/$H385)</f>
        <v/>
      </c>
      <c r="T385" s="29" t="str">
        <f aca="false">IF(OR($R385="",$M385="",$M385=0),"",$R385/$M385)</f>
        <v/>
      </c>
      <c r="U385" s="26" t="str">
        <f aca="false">IF(OR($H385="",$H385=0,$I385=""),"",$I385/$H385)</f>
        <v/>
      </c>
      <c r="V385" s="24"/>
    </row>
    <row r="386" customFormat="false" ht="15" hidden="false" customHeight="false" outlineLevel="0" collapsed="false">
      <c r="A386" s="21"/>
      <c r="B386" s="22" t="str">
        <f aca="false">IF($A386="","",INDEX(Config!$F$2:$F$8,WEEKDAY($A386,2)))</f>
        <v/>
      </c>
      <c r="C386" s="23" t="str">
        <f aca="false">IF($A386="","",EOMONTH($A386,0))</f>
        <v/>
      </c>
      <c r="D386" s="24"/>
      <c r="E386" s="24"/>
      <c r="F386" s="25"/>
      <c r="G386" s="25"/>
      <c r="H386" s="26" t="str">
        <f aca="false">IF(OR($F386="",$G386=""),"",($G386-$F386+IF($G386&lt;$F386,1,0))*24)</f>
        <v/>
      </c>
      <c r="I386" s="27"/>
      <c r="J386" s="28"/>
      <c r="K386" s="29" t="str">
        <f aca="false">IF($J386="","",$J386*Config!$B$5)</f>
        <v/>
      </c>
      <c r="L386" s="28"/>
      <c r="M386" s="27"/>
      <c r="N386" s="28"/>
      <c r="O386" s="29" t="str">
        <f aca="false">IF($M386="","",$M386*Config!$B$6)</f>
        <v/>
      </c>
      <c r="P386" s="28"/>
      <c r="Q386" s="28"/>
      <c r="R386" s="30" t="str">
        <f aca="false">IF($J386="","",$J386-$K386+SUM($L386)-SUM($N386:$Q386))</f>
        <v/>
      </c>
      <c r="S386" s="30" t="str">
        <f aca="false">IF(OR($R386="",$H386="",$H386=0),"",$R386/$H386)</f>
        <v/>
      </c>
      <c r="T386" s="29" t="str">
        <f aca="false">IF(OR($R386="",$M386="",$M386=0),"",$R386/$M386)</f>
        <v/>
      </c>
      <c r="U386" s="26" t="str">
        <f aca="false">IF(OR($H386="",$H386=0,$I386=""),"",$I386/$H386)</f>
        <v/>
      </c>
      <c r="V386" s="24"/>
    </row>
    <row r="387" customFormat="false" ht="15" hidden="false" customHeight="false" outlineLevel="0" collapsed="false">
      <c r="A387" s="21"/>
      <c r="B387" s="22" t="str">
        <f aca="false">IF($A387="","",INDEX(Config!$F$2:$F$8,WEEKDAY($A387,2)))</f>
        <v/>
      </c>
      <c r="C387" s="23" t="str">
        <f aca="false">IF($A387="","",EOMONTH($A387,0))</f>
        <v/>
      </c>
      <c r="D387" s="24"/>
      <c r="E387" s="24"/>
      <c r="F387" s="25"/>
      <c r="G387" s="25"/>
      <c r="H387" s="26" t="str">
        <f aca="false">IF(OR($F387="",$G387=""),"",($G387-$F387+IF($G387&lt;$F387,1,0))*24)</f>
        <v/>
      </c>
      <c r="I387" s="27"/>
      <c r="J387" s="28"/>
      <c r="K387" s="29" t="str">
        <f aca="false">IF($J387="","",$J387*Config!$B$5)</f>
        <v/>
      </c>
      <c r="L387" s="28"/>
      <c r="M387" s="27"/>
      <c r="N387" s="28"/>
      <c r="O387" s="29" t="str">
        <f aca="false">IF($M387="","",$M387*Config!$B$6)</f>
        <v/>
      </c>
      <c r="P387" s="28"/>
      <c r="Q387" s="28"/>
      <c r="R387" s="30" t="str">
        <f aca="false">IF($J387="","",$J387-$K387+SUM($L387)-SUM($N387:$Q387))</f>
        <v/>
      </c>
      <c r="S387" s="30" t="str">
        <f aca="false">IF(OR($R387="",$H387="",$H387=0),"",$R387/$H387)</f>
        <v/>
      </c>
      <c r="T387" s="29" t="str">
        <f aca="false">IF(OR($R387="",$M387="",$M387=0),"",$R387/$M387)</f>
        <v/>
      </c>
      <c r="U387" s="26" t="str">
        <f aca="false">IF(OR($H387="",$H387=0,$I387=""),"",$I387/$H387)</f>
        <v/>
      </c>
      <c r="V387" s="24"/>
    </row>
    <row r="388" customFormat="false" ht="15" hidden="false" customHeight="false" outlineLevel="0" collapsed="false">
      <c r="A388" s="21"/>
      <c r="B388" s="22" t="str">
        <f aca="false">IF($A388="","",INDEX(Config!$F$2:$F$8,WEEKDAY($A388,2)))</f>
        <v/>
      </c>
      <c r="C388" s="23" t="str">
        <f aca="false">IF($A388="","",EOMONTH($A388,0))</f>
        <v/>
      </c>
      <c r="D388" s="24"/>
      <c r="E388" s="24"/>
      <c r="F388" s="25"/>
      <c r="G388" s="25"/>
      <c r="H388" s="26" t="str">
        <f aca="false">IF(OR($F388="",$G388=""),"",($G388-$F388+IF($G388&lt;$F388,1,0))*24)</f>
        <v/>
      </c>
      <c r="I388" s="27"/>
      <c r="J388" s="28"/>
      <c r="K388" s="29" t="str">
        <f aca="false">IF($J388="","",$J388*Config!$B$5)</f>
        <v/>
      </c>
      <c r="L388" s="28"/>
      <c r="M388" s="27"/>
      <c r="N388" s="28"/>
      <c r="O388" s="29" t="str">
        <f aca="false">IF($M388="","",$M388*Config!$B$6)</f>
        <v/>
      </c>
      <c r="P388" s="28"/>
      <c r="Q388" s="28"/>
      <c r="R388" s="30" t="str">
        <f aca="false">IF($J388="","",$J388-$K388+SUM($L388)-SUM($N388:$Q388))</f>
        <v/>
      </c>
      <c r="S388" s="30" t="str">
        <f aca="false">IF(OR($R388="",$H388="",$H388=0),"",$R388/$H388)</f>
        <v/>
      </c>
      <c r="T388" s="29" t="str">
        <f aca="false">IF(OR($R388="",$M388="",$M388=0),"",$R388/$M388)</f>
        <v/>
      </c>
      <c r="U388" s="26" t="str">
        <f aca="false">IF(OR($H388="",$H388=0,$I388=""),"",$I388/$H388)</f>
        <v/>
      </c>
      <c r="V388" s="24"/>
    </row>
    <row r="389" customFormat="false" ht="15" hidden="false" customHeight="false" outlineLevel="0" collapsed="false">
      <c r="A389" s="21"/>
      <c r="B389" s="22" t="str">
        <f aca="false">IF($A389="","",INDEX(Config!$F$2:$F$8,WEEKDAY($A389,2)))</f>
        <v/>
      </c>
      <c r="C389" s="23" t="str">
        <f aca="false">IF($A389="","",EOMONTH($A389,0))</f>
        <v/>
      </c>
      <c r="D389" s="24"/>
      <c r="E389" s="24"/>
      <c r="F389" s="25"/>
      <c r="G389" s="25"/>
      <c r="H389" s="26" t="str">
        <f aca="false">IF(OR($F389="",$G389=""),"",($G389-$F389+IF($G389&lt;$F389,1,0))*24)</f>
        <v/>
      </c>
      <c r="I389" s="27"/>
      <c r="J389" s="28"/>
      <c r="K389" s="29" t="str">
        <f aca="false">IF($J389="","",$J389*Config!$B$5)</f>
        <v/>
      </c>
      <c r="L389" s="28"/>
      <c r="M389" s="27"/>
      <c r="N389" s="28"/>
      <c r="O389" s="29" t="str">
        <f aca="false">IF($M389="","",$M389*Config!$B$6)</f>
        <v/>
      </c>
      <c r="P389" s="28"/>
      <c r="Q389" s="28"/>
      <c r="R389" s="30" t="str">
        <f aca="false">IF($J389="","",$J389-$K389+SUM($L389)-SUM($N389:$Q389))</f>
        <v/>
      </c>
      <c r="S389" s="30" t="str">
        <f aca="false">IF(OR($R389="",$H389="",$H389=0),"",$R389/$H389)</f>
        <v/>
      </c>
      <c r="T389" s="29" t="str">
        <f aca="false">IF(OR($R389="",$M389="",$M389=0),"",$R389/$M389)</f>
        <v/>
      </c>
      <c r="U389" s="26" t="str">
        <f aca="false">IF(OR($H389="",$H389=0,$I389=""),"",$I389/$H389)</f>
        <v/>
      </c>
      <c r="V389" s="24"/>
    </row>
    <row r="390" customFormat="false" ht="15" hidden="false" customHeight="false" outlineLevel="0" collapsed="false">
      <c r="A390" s="21"/>
      <c r="B390" s="22" t="str">
        <f aca="false">IF($A390="","",INDEX(Config!$F$2:$F$8,WEEKDAY($A390,2)))</f>
        <v/>
      </c>
      <c r="C390" s="23" t="str">
        <f aca="false">IF($A390="","",EOMONTH($A390,0))</f>
        <v/>
      </c>
      <c r="D390" s="24"/>
      <c r="E390" s="24"/>
      <c r="F390" s="25"/>
      <c r="G390" s="25"/>
      <c r="H390" s="26" t="str">
        <f aca="false">IF(OR($F390="",$G390=""),"",($G390-$F390+IF($G390&lt;$F390,1,0))*24)</f>
        <v/>
      </c>
      <c r="I390" s="27"/>
      <c r="J390" s="28"/>
      <c r="K390" s="29" t="str">
        <f aca="false">IF($J390="","",$J390*Config!$B$5)</f>
        <v/>
      </c>
      <c r="L390" s="28"/>
      <c r="M390" s="27"/>
      <c r="N390" s="28"/>
      <c r="O390" s="29" t="str">
        <f aca="false">IF($M390="","",$M390*Config!$B$6)</f>
        <v/>
      </c>
      <c r="P390" s="28"/>
      <c r="Q390" s="28"/>
      <c r="R390" s="30" t="str">
        <f aca="false">IF($J390="","",$J390-$K390+SUM($L390)-SUM($N390:$Q390))</f>
        <v/>
      </c>
      <c r="S390" s="30" t="str">
        <f aca="false">IF(OR($R390="",$H390="",$H390=0),"",$R390/$H390)</f>
        <v/>
      </c>
      <c r="T390" s="29" t="str">
        <f aca="false">IF(OR($R390="",$M390="",$M390=0),"",$R390/$M390)</f>
        <v/>
      </c>
      <c r="U390" s="26" t="str">
        <f aca="false">IF(OR($H390="",$H390=0,$I390=""),"",$I390/$H390)</f>
        <v/>
      </c>
      <c r="V390" s="24"/>
    </row>
    <row r="391" customFormat="false" ht="15" hidden="false" customHeight="false" outlineLevel="0" collapsed="false">
      <c r="A391" s="21"/>
      <c r="B391" s="22" t="str">
        <f aca="false">IF($A391="","",INDEX(Config!$F$2:$F$8,WEEKDAY($A391,2)))</f>
        <v/>
      </c>
      <c r="C391" s="23" t="str">
        <f aca="false">IF($A391="","",EOMONTH($A391,0))</f>
        <v/>
      </c>
      <c r="D391" s="24"/>
      <c r="E391" s="24"/>
      <c r="F391" s="25"/>
      <c r="G391" s="25"/>
      <c r="H391" s="26" t="str">
        <f aca="false">IF(OR($F391="",$G391=""),"",($G391-$F391+IF($G391&lt;$F391,1,0))*24)</f>
        <v/>
      </c>
      <c r="I391" s="27"/>
      <c r="J391" s="28"/>
      <c r="K391" s="29" t="str">
        <f aca="false">IF($J391="","",$J391*Config!$B$5)</f>
        <v/>
      </c>
      <c r="L391" s="28"/>
      <c r="M391" s="27"/>
      <c r="N391" s="28"/>
      <c r="O391" s="29" t="str">
        <f aca="false">IF($M391="","",$M391*Config!$B$6)</f>
        <v/>
      </c>
      <c r="P391" s="28"/>
      <c r="Q391" s="28"/>
      <c r="R391" s="30" t="str">
        <f aca="false">IF($J391="","",$J391-$K391+SUM($L391)-SUM($N391:$Q391))</f>
        <v/>
      </c>
      <c r="S391" s="30" t="str">
        <f aca="false">IF(OR($R391="",$H391="",$H391=0),"",$R391/$H391)</f>
        <v/>
      </c>
      <c r="T391" s="29" t="str">
        <f aca="false">IF(OR($R391="",$M391="",$M391=0),"",$R391/$M391)</f>
        <v/>
      </c>
      <c r="U391" s="26" t="str">
        <f aca="false">IF(OR($H391="",$H391=0,$I391=""),"",$I391/$H391)</f>
        <v/>
      </c>
      <c r="V391" s="24"/>
    </row>
    <row r="392" customFormat="false" ht="15" hidden="false" customHeight="false" outlineLevel="0" collapsed="false">
      <c r="A392" s="21"/>
      <c r="B392" s="22" t="str">
        <f aca="false">IF($A392="","",INDEX(Config!$F$2:$F$8,WEEKDAY($A392,2)))</f>
        <v/>
      </c>
      <c r="C392" s="23" t="str">
        <f aca="false">IF($A392="","",EOMONTH($A392,0))</f>
        <v/>
      </c>
      <c r="D392" s="24"/>
      <c r="E392" s="24"/>
      <c r="F392" s="25"/>
      <c r="G392" s="25"/>
      <c r="H392" s="26" t="str">
        <f aca="false">IF(OR($F392="",$G392=""),"",($G392-$F392+IF($G392&lt;$F392,1,0))*24)</f>
        <v/>
      </c>
      <c r="I392" s="27"/>
      <c r="J392" s="28"/>
      <c r="K392" s="29" t="str">
        <f aca="false">IF($J392="","",$J392*Config!$B$5)</f>
        <v/>
      </c>
      <c r="L392" s="28"/>
      <c r="M392" s="27"/>
      <c r="N392" s="28"/>
      <c r="O392" s="29" t="str">
        <f aca="false">IF($M392="","",$M392*Config!$B$6)</f>
        <v/>
      </c>
      <c r="P392" s="28"/>
      <c r="Q392" s="28"/>
      <c r="R392" s="30" t="str">
        <f aca="false">IF($J392="","",$J392-$K392+SUM($L392)-SUM($N392:$Q392))</f>
        <v/>
      </c>
      <c r="S392" s="30" t="str">
        <f aca="false">IF(OR($R392="",$H392="",$H392=0),"",$R392/$H392)</f>
        <v/>
      </c>
      <c r="T392" s="29" t="str">
        <f aca="false">IF(OR($R392="",$M392="",$M392=0),"",$R392/$M392)</f>
        <v/>
      </c>
      <c r="U392" s="26" t="str">
        <f aca="false">IF(OR($H392="",$H392=0,$I392=""),"",$I392/$H392)</f>
        <v/>
      </c>
      <c r="V392" s="24"/>
    </row>
    <row r="393" customFormat="false" ht="15" hidden="false" customHeight="false" outlineLevel="0" collapsed="false">
      <c r="A393" s="21"/>
      <c r="B393" s="22" t="str">
        <f aca="false">IF($A393="","",INDEX(Config!$F$2:$F$8,WEEKDAY($A393,2)))</f>
        <v/>
      </c>
      <c r="C393" s="23" t="str">
        <f aca="false">IF($A393="","",EOMONTH($A393,0))</f>
        <v/>
      </c>
      <c r="D393" s="24"/>
      <c r="E393" s="24"/>
      <c r="F393" s="25"/>
      <c r="G393" s="25"/>
      <c r="H393" s="26" t="str">
        <f aca="false">IF(OR($F393="",$G393=""),"",($G393-$F393+IF($G393&lt;$F393,1,0))*24)</f>
        <v/>
      </c>
      <c r="I393" s="27"/>
      <c r="J393" s="28"/>
      <c r="K393" s="29" t="str">
        <f aca="false">IF($J393="","",$J393*Config!$B$5)</f>
        <v/>
      </c>
      <c r="L393" s="28"/>
      <c r="M393" s="27"/>
      <c r="N393" s="28"/>
      <c r="O393" s="29" t="str">
        <f aca="false">IF($M393="","",$M393*Config!$B$6)</f>
        <v/>
      </c>
      <c r="P393" s="28"/>
      <c r="Q393" s="28"/>
      <c r="R393" s="30" t="str">
        <f aca="false">IF($J393="","",$J393-$K393+SUM($L393)-SUM($N393:$Q393))</f>
        <v/>
      </c>
      <c r="S393" s="30" t="str">
        <f aca="false">IF(OR($R393="",$H393="",$H393=0),"",$R393/$H393)</f>
        <v/>
      </c>
      <c r="T393" s="29" t="str">
        <f aca="false">IF(OR($R393="",$M393="",$M393=0),"",$R393/$M393)</f>
        <v/>
      </c>
      <c r="U393" s="26" t="str">
        <f aca="false">IF(OR($H393="",$H393=0,$I393=""),"",$I393/$H393)</f>
        <v/>
      </c>
      <c r="V393" s="24"/>
    </row>
    <row r="394" customFormat="false" ht="15" hidden="false" customHeight="false" outlineLevel="0" collapsed="false">
      <c r="A394" s="21"/>
      <c r="B394" s="22" t="str">
        <f aca="false">IF($A394="","",INDEX(Config!$F$2:$F$8,WEEKDAY($A394,2)))</f>
        <v/>
      </c>
      <c r="C394" s="23" t="str">
        <f aca="false">IF($A394="","",EOMONTH($A394,0))</f>
        <v/>
      </c>
      <c r="D394" s="24"/>
      <c r="E394" s="24"/>
      <c r="F394" s="25"/>
      <c r="G394" s="25"/>
      <c r="H394" s="26" t="str">
        <f aca="false">IF(OR($F394="",$G394=""),"",($G394-$F394+IF($G394&lt;$F394,1,0))*24)</f>
        <v/>
      </c>
      <c r="I394" s="27"/>
      <c r="J394" s="28"/>
      <c r="K394" s="29" t="str">
        <f aca="false">IF($J394="","",$J394*Config!$B$5)</f>
        <v/>
      </c>
      <c r="L394" s="28"/>
      <c r="M394" s="27"/>
      <c r="N394" s="28"/>
      <c r="O394" s="29" t="str">
        <f aca="false">IF($M394="","",$M394*Config!$B$6)</f>
        <v/>
      </c>
      <c r="P394" s="28"/>
      <c r="Q394" s="28"/>
      <c r="R394" s="30" t="str">
        <f aca="false">IF($J394="","",$J394-$K394+SUM($L394)-SUM($N394:$Q394))</f>
        <v/>
      </c>
      <c r="S394" s="30" t="str">
        <f aca="false">IF(OR($R394="",$H394="",$H394=0),"",$R394/$H394)</f>
        <v/>
      </c>
      <c r="T394" s="29" t="str">
        <f aca="false">IF(OR($R394="",$M394="",$M394=0),"",$R394/$M394)</f>
        <v/>
      </c>
      <c r="U394" s="26" t="str">
        <f aca="false">IF(OR($H394="",$H394=0,$I394=""),"",$I394/$H394)</f>
        <v/>
      </c>
      <c r="V394" s="24"/>
    </row>
    <row r="395" customFormat="false" ht="15" hidden="false" customHeight="false" outlineLevel="0" collapsed="false">
      <c r="A395" s="21"/>
      <c r="B395" s="22" t="str">
        <f aca="false">IF($A395="","",INDEX(Config!$F$2:$F$8,WEEKDAY($A395,2)))</f>
        <v/>
      </c>
      <c r="C395" s="23" t="str">
        <f aca="false">IF($A395="","",EOMONTH($A395,0))</f>
        <v/>
      </c>
      <c r="D395" s="24"/>
      <c r="E395" s="24"/>
      <c r="F395" s="25"/>
      <c r="G395" s="25"/>
      <c r="H395" s="26" t="str">
        <f aca="false">IF(OR($F395="",$G395=""),"",($G395-$F395+IF($G395&lt;$F395,1,0))*24)</f>
        <v/>
      </c>
      <c r="I395" s="27"/>
      <c r="J395" s="28"/>
      <c r="K395" s="29" t="str">
        <f aca="false">IF($J395="","",$J395*Config!$B$5)</f>
        <v/>
      </c>
      <c r="L395" s="28"/>
      <c r="M395" s="27"/>
      <c r="N395" s="28"/>
      <c r="O395" s="29" t="str">
        <f aca="false">IF($M395="","",$M395*Config!$B$6)</f>
        <v/>
      </c>
      <c r="P395" s="28"/>
      <c r="Q395" s="28"/>
      <c r="R395" s="30" t="str">
        <f aca="false">IF($J395="","",$J395-$K395+SUM($L395)-SUM($N395:$Q395))</f>
        <v/>
      </c>
      <c r="S395" s="30" t="str">
        <f aca="false">IF(OR($R395="",$H395="",$H395=0),"",$R395/$H395)</f>
        <v/>
      </c>
      <c r="T395" s="29" t="str">
        <f aca="false">IF(OR($R395="",$M395="",$M395=0),"",$R395/$M395)</f>
        <v/>
      </c>
      <c r="U395" s="26" t="str">
        <f aca="false">IF(OR($H395="",$H395=0,$I395=""),"",$I395/$H395)</f>
        <v/>
      </c>
      <c r="V395" s="24"/>
    </row>
    <row r="396" customFormat="false" ht="15" hidden="false" customHeight="false" outlineLevel="0" collapsed="false">
      <c r="A396" s="21"/>
      <c r="B396" s="22" t="str">
        <f aca="false">IF($A396="","",INDEX(Config!$F$2:$F$8,WEEKDAY($A396,2)))</f>
        <v/>
      </c>
      <c r="C396" s="23" t="str">
        <f aca="false">IF($A396="","",EOMONTH($A396,0))</f>
        <v/>
      </c>
      <c r="D396" s="24"/>
      <c r="E396" s="24"/>
      <c r="F396" s="25"/>
      <c r="G396" s="25"/>
      <c r="H396" s="26" t="str">
        <f aca="false">IF(OR($F396="",$G396=""),"",($G396-$F396+IF($G396&lt;$F396,1,0))*24)</f>
        <v/>
      </c>
      <c r="I396" s="27"/>
      <c r="J396" s="28"/>
      <c r="K396" s="29" t="str">
        <f aca="false">IF($J396="","",$J396*Config!$B$5)</f>
        <v/>
      </c>
      <c r="L396" s="28"/>
      <c r="M396" s="27"/>
      <c r="N396" s="28"/>
      <c r="O396" s="29" t="str">
        <f aca="false">IF($M396="","",$M396*Config!$B$6)</f>
        <v/>
      </c>
      <c r="P396" s="28"/>
      <c r="Q396" s="28"/>
      <c r="R396" s="30" t="str">
        <f aca="false">IF($J396="","",$J396-$K396+SUM($L396)-SUM($N396:$Q396))</f>
        <v/>
      </c>
      <c r="S396" s="30" t="str">
        <f aca="false">IF(OR($R396="",$H396="",$H396=0),"",$R396/$H396)</f>
        <v/>
      </c>
      <c r="T396" s="29" t="str">
        <f aca="false">IF(OR($R396="",$M396="",$M396=0),"",$R396/$M396)</f>
        <v/>
      </c>
      <c r="U396" s="26" t="str">
        <f aca="false">IF(OR($H396="",$H396=0,$I396=""),"",$I396/$H396)</f>
        <v/>
      </c>
      <c r="V396" s="24"/>
    </row>
    <row r="397" customFormat="false" ht="15" hidden="false" customHeight="false" outlineLevel="0" collapsed="false">
      <c r="A397" s="21"/>
      <c r="B397" s="22" t="str">
        <f aca="false">IF($A397="","",INDEX(Config!$F$2:$F$8,WEEKDAY($A397,2)))</f>
        <v/>
      </c>
      <c r="C397" s="23" t="str">
        <f aca="false">IF($A397="","",EOMONTH($A397,0))</f>
        <v/>
      </c>
      <c r="D397" s="24"/>
      <c r="E397" s="24"/>
      <c r="F397" s="25"/>
      <c r="G397" s="25"/>
      <c r="H397" s="26" t="str">
        <f aca="false">IF(OR($F397="",$G397=""),"",($G397-$F397+IF($G397&lt;$F397,1,0))*24)</f>
        <v/>
      </c>
      <c r="I397" s="27"/>
      <c r="J397" s="28"/>
      <c r="K397" s="29" t="str">
        <f aca="false">IF($J397="","",$J397*Config!$B$5)</f>
        <v/>
      </c>
      <c r="L397" s="28"/>
      <c r="M397" s="27"/>
      <c r="N397" s="28"/>
      <c r="O397" s="29" t="str">
        <f aca="false">IF($M397="","",$M397*Config!$B$6)</f>
        <v/>
      </c>
      <c r="P397" s="28"/>
      <c r="Q397" s="28"/>
      <c r="R397" s="30" t="str">
        <f aca="false">IF($J397="","",$J397-$K397+SUM($L397)-SUM($N397:$Q397))</f>
        <v/>
      </c>
      <c r="S397" s="30" t="str">
        <f aca="false">IF(OR($R397="",$H397="",$H397=0),"",$R397/$H397)</f>
        <v/>
      </c>
      <c r="T397" s="29" t="str">
        <f aca="false">IF(OR($R397="",$M397="",$M397=0),"",$R397/$M397)</f>
        <v/>
      </c>
      <c r="U397" s="26" t="str">
        <f aca="false">IF(OR($H397="",$H397=0,$I397=""),"",$I397/$H397)</f>
        <v/>
      </c>
      <c r="V397" s="24"/>
    </row>
    <row r="398" customFormat="false" ht="15" hidden="false" customHeight="false" outlineLevel="0" collapsed="false">
      <c r="A398" s="21"/>
      <c r="B398" s="22" t="str">
        <f aca="false">IF($A398="","",INDEX(Config!$F$2:$F$8,WEEKDAY($A398,2)))</f>
        <v/>
      </c>
      <c r="C398" s="23" t="str">
        <f aca="false">IF($A398="","",EOMONTH($A398,0))</f>
        <v/>
      </c>
      <c r="D398" s="24"/>
      <c r="E398" s="24"/>
      <c r="F398" s="25"/>
      <c r="G398" s="25"/>
      <c r="H398" s="26" t="str">
        <f aca="false">IF(OR($F398="",$G398=""),"",($G398-$F398+IF($G398&lt;$F398,1,0))*24)</f>
        <v/>
      </c>
      <c r="I398" s="27"/>
      <c r="J398" s="28"/>
      <c r="K398" s="29" t="str">
        <f aca="false">IF($J398="","",$J398*Config!$B$5)</f>
        <v/>
      </c>
      <c r="L398" s="28"/>
      <c r="M398" s="27"/>
      <c r="N398" s="28"/>
      <c r="O398" s="29" t="str">
        <f aca="false">IF($M398="","",$M398*Config!$B$6)</f>
        <v/>
      </c>
      <c r="P398" s="28"/>
      <c r="Q398" s="28"/>
      <c r="R398" s="30" t="str">
        <f aca="false">IF($J398="","",$J398-$K398+SUM($L398)-SUM($N398:$Q398))</f>
        <v/>
      </c>
      <c r="S398" s="30" t="str">
        <f aca="false">IF(OR($R398="",$H398="",$H398=0),"",$R398/$H398)</f>
        <v/>
      </c>
      <c r="T398" s="29" t="str">
        <f aca="false">IF(OR($R398="",$M398="",$M398=0),"",$R398/$M398)</f>
        <v/>
      </c>
      <c r="U398" s="26" t="str">
        <f aca="false">IF(OR($H398="",$H398=0,$I398=""),"",$I398/$H398)</f>
        <v/>
      </c>
      <c r="V398" s="24"/>
    </row>
    <row r="399" customFormat="false" ht="15" hidden="false" customHeight="false" outlineLevel="0" collapsed="false">
      <c r="A399" s="21"/>
      <c r="B399" s="22" t="str">
        <f aca="false">IF($A399="","",INDEX(Config!$F$2:$F$8,WEEKDAY($A399,2)))</f>
        <v/>
      </c>
      <c r="C399" s="23" t="str">
        <f aca="false">IF($A399="","",EOMONTH($A399,0))</f>
        <v/>
      </c>
      <c r="D399" s="24"/>
      <c r="E399" s="24"/>
      <c r="F399" s="25"/>
      <c r="G399" s="25"/>
      <c r="H399" s="26" t="str">
        <f aca="false">IF(OR($F399="",$G399=""),"",($G399-$F399+IF($G399&lt;$F399,1,0))*24)</f>
        <v/>
      </c>
      <c r="I399" s="27"/>
      <c r="J399" s="28"/>
      <c r="K399" s="29" t="str">
        <f aca="false">IF($J399="","",$J399*Config!$B$5)</f>
        <v/>
      </c>
      <c r="L399" s="28"/>
      <c r="M399" s="27"/>
      <c r="N399" s="28"/>
      <c r="O399" s="29" t="str">
        <f aca="false">IF($M399="","",$M399*Config!$B$6)</f>
        <v/>
      </c>
      <c r="P399" s="28"/>
      <c r="Q399" s="28"/>
      <c r="R399" s="30" t="str">
        <f aca="false">IF($J399="","",$J399-$K399+SUM($L399)-SUM($N399:$Q399))</f>
        <v/>
      </c>
      <c r="S399" s="30" t="str">
        <f aca="false">IF(OR($R399="",$H399="",$H399=0),"",$R399/$H399)</f>
        <v/>
      </c>
      <c r="T399" s="29" t="str">
        <f aca="false">IF(OR($R399="",$M399="",$M399=0),"",$R399/$M399)</f>
        <v/>
      </c>
      <c r="U399" s="26" t="str">
        <f aca="false">IF(OR($H399="",$H399=0,$I399=""),"",$I399/$H399)</f>
        <v/>
      </c>
      <c r="V399" s="24"/>
    </row>
    <row r="400" customFormat="false" ht="15" hidden="false" customHeight="false" outlineLevel="0" collapsed="false">
      <c r="A400" s="21"/>
      <c r="B400" s="22" t="str">
        <f aca="false">IF($A400="","",INDEX(Config!$F$2:$F$8,WEEKDAY($A400,2)))</f>
        <v/>
      </c>
      <c r="C400" s="23" t="str">
        <f aca="false">IF($A400="","",EOMONTH($A400,0))</f>
        <v/>
      </c>
      <c r="D400" s="24"/>
      <c r="E400" s="24"/>
      <c r="F400" s="25"/>
      <c r="G400" s="25"/>
      <c r="H400" s="26" t="str">
        <f aca="false">IF(OR($F400="",$G400=""),"",($G400-$F400+IF($G400&lt;$F400,1,0))*24)</f>
        <v/>
      </c>
      <c r="I400" s="27"/>
      <c r="J400" s="28"/>
      <c r="K400" s="29" t="str">
        <f aca="false">IF($J400="","",$J400*Config!$B$5)</f>
        <v/>
      </c>
      <c r="L400" s="28"/>
      <c r="M400" s="27"/>
      <c r="N400" s="28"/>
      <c r="O400" s="29" t="str">
        <f aca="false">IF($M400="","",$M400*Config!$B$6)</f>
        <v/>
      </c>
      <c r="P400" s="28"/>
      <c r="Q400" s="28"/>
      <c r="R400" s="30" t="str">
        <f aca="false">IF($J400="","",$J400-$K400+SUM($L400)-SUM($N400:$Q400))</f>
        <v/>
      </c>
      <c r="S400" s="30" t="str">
        <f aca="false">IF(OR($R400="",$H400="",$H400=0),"",$R400/$H400)</f>
        <v/>
      </c>
      <c r="T400" s="29" t="str">
        <f aca="false">IF(OR($R400="",$M400="",$M400=0),"",$R400/$M400)</f>
        <v/>
      </c>
      <c r="U400" s="26" t="str">
        <f aca="false">IF(OR($H400="",$H400=0,$I400=""),"",$I400/$H400)</f>
        <v/>
      </c>
      <c r="V400" s="24"/>
    </row>
    <row r="401" customFormat="false" ht="15" hidden="false" customHeight="false" outlineLevel="0" collapsed="false">
      <c r="A401" s="21"/>
      <c r="B401" s="22" t="str">
        <f aca="false">IF($A401="","",INDEX(Config!$F$2:$F$8,WEEKDAY($A401,2)))</f>
        <v/>
      </c>
      <c r="C401" s="23" t="str">
        <f aca="false">IF($A401="","",EOMONTH($A401,0))</f>
        <v/>
      </c>
      <c r="D401" s="24"/>
      <c r="E401" s="24"/>
      <c r="F401" s="25"/>
      <c r="G401" s="25"/>
      <c r="H401" s="26" t="str">
        <f aca="false">IF(OR($F401="",$G401=""),"",($G401-$F401+IF($G401&lt;$F401,1,0))*24)</f>
        <v/>
      </c>
      <c r="I401" s="27"/>
      <c r="J401" s="28"/>
      <c r="K401" s="29" t="str">
        <f aca="false">IF($J401="","",$J401*Config!$B$5)</f>
        <v/>
      </c>
      <c r="L401" s="28"/>
      <c r="M401" s="27"/>
      <c r="N401" s="28"/>
      <c r="O401" s="29" t="str">
        <f aca="false">IF($M401="","",$M401*Config!$B$6)</f>
        <v/>
      </c>
      <c r="P401" s="28"/>
      <c r="Q401" s="28"/>
      <c r="R401" s="30" t="str">
        <f aca="false">IF($J401="","",$J401-$K401+SUM($L401)-SUM($N401:$Q401))</f>
        <v/>
      </c>
      <c r="S401" s="30" t="str">
        <f aca="false">IF(OR($R401="",$H401="",$H401=0),"",$R401/$H401)</f>
        <v/>
      </c>
      <c r="T401" s="29" t="str">
        <f aca="false">IF(OR($R401="",$M401="",$M401=0),"",$R401/$M401)</f>
        <v/>
      </c>
      <c r="U401" s="26" t="str">
        <f aca="false">IF(OR($H401="",$H401=0,$I401=""),"",$I401/$H401)</f>
        <v/>
      </c>
      <c r="V401" s="24"/>
    </row>
    <row r="402" customFormat="false" ht="15" hidden="false" customHeight="false" outlineLevel="0" collapsed="false">
      <c r="A402" s="21"/>
      <c r="B402" s="22" t="str">
        <f aca="false">IF($A402="","",INDEX(Config!$F$2:$F$8,WEEKDAY($A402,2)))</f>
        <v/>
      </c>
      <c r="C402" s="23" t="str">
        <f aca="false">IF($A402="","",EOMONTH($A402,0))</f>
        <v/>
      </c>
      <c r="D402" s="24"/>
      <c r="E402" s="24"/>
      <c r="F402" s="25"/>
      <c r="G402" s="25"/>
      <c r="H402" s="26" t="str">
        <f aca="false">IF(OR($F402="",$G402=""),"",($G402-$F402+IF($G402&lt;$F402,1,0))*24)</f>
        <v/>
      </c>
      <c r="I402" s="27"/>
      <c r="J402" s="28"/>
      <c r="K402" s="29" t="str">
        <f aca="false">IF($J402="","",$J402*Config!$B$5)</f>
        <v/>
      </c>
      <c r="L402" s="28"/>
      <c r="M402" s="27"/>
      <c r="N402" s="28"/>
      <c r="O402" s="29" t="str">
        <f aca="false">IF($M402="","",$M402*Config!$B$6)</f>
        <v/>
      </c>
      <c r="P402" s="28"/>
      <c r="Q402" s="28"/>
      <c r="R402" s="30" t="str">
        <f aca="false">IF($J402="","",$J402-$K402+SUM($L402)-SUM($N402:$Q402))</f>
        <v/>
      </c>
      <c r="S402" s="30" t="str">
        <f aca="false">IF(OR($R402="",$H402="",$H402=0),"",$R402/$H402)</f>
        <v/>
      </c>
      <c r="T402" s="29" t="str">
        <f aca="false">IF(OR($R402="",$M402="",$M402=0),"",$R402/$M402)</f>
        <v/>
      </c>
      <c r="U402" s="26" t="str">
        <f aca="false">IF(OR($H402="",$H402=0,$I402=""),"",$I402/$H402)</f>
        <v/>
      </c>
      <c r="V402" s="24"/>
    </row>
    <row r="403" customFormat="false" ht="15" hidden="false" customHeight="false" outlineLevel="0" collapsed="false">
      <c r="A403" s="21"/>
      <c r="B403" s="22" t="str">
        <f aca="false">IF($A403="","",INDEX(Config!$F$2:$F$8,WEEKDAY($A403,2)))</f>
        <v/>
      </c>
      <c r="C403" s="23" t="str">
        <f aca="false">IF($A403="","",EOMONTH($A403,0))</f>
        <v/>
      </c>
      <c r="D403" s="24"/>
      <c r="E403" s="24"/>
      <c r="F403" s="25"/>
      <c r="G403" s="25"/>
      <c r="H403" s="26" t="str">
        <f aca="false">IF(OR($F403="",$G403=""),"",($G403-$F403+IF($G403&lt;$F403,1,0))*24)</f>
        <v/>
      </c>
      <c r="I403" s="27"/>
      <c r="J403" s="28"/>
      <c r="K403" s="29" t="str">
        <f aca="false">IF($J403="","",$J403*Config!$B$5)</f>
        <v/>
      </c>
      <c r="L403" s="28"/>
      <c r="M403" s="27"/>
      <c r="N403" s="28"/>
      <c r="O403" s="29" t="str">
        <f aca="false">IF($M403="","",$M403*Config!$B$6)</f>
        <v/>
      </c>
      <c r="P403" s="28"/>
      <c r="Q403" s="28"/>
      <c r="R403" s="30" t="str">
        <f aca="false">IF($J403="","",$J403-$K403+SUM($L403)-SUM($N403:$Q403))</f>
        <v/>
      </c>
      <c r="S403" s="30" t="str">
        <f aca="false">IF(OR($R403="",$H403="",$H403=0),"",$R403/$H403)</f>
        <v/>
      </c>
      <c r="T403" s="29" t="str">
        <f aca="false">IF(OR($R403="",$M403="",$M403=0),"",$R403/$M403)</f>
        <v/>
      </c>
      <c r="U403" s="26" t="str">
        <f aca="false">IF(OR($H403="",$H403=0,$I403=""),"",$I403/$H403)</f>
        <v/>
      </c>
      <c r="V403" s="24"/>
    </row>
  </sheetData>
  <autoFilter ref="A2:V403"/>
  <mergeCells count="1">
    <mergeCell ref="A1:V1"/>
  </mergeCells>
  <conditionalFormatting sqref="S3:S403"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D3:D403" type="list">
      <formula1>Config!$D$2:$D$9</formula1>
      <formula2>0</formula2>
    </dataValidation>
    <dataValidation allowBlank="true" errorStyle="stop" operator="between" showDropDown="false" showErrorMessage="false" showInputMessage="false" sqref="E3:E403" type="list">
      <formula1>Config!$E$2:$E$17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31" t="s">
        <v>90</v>
      </c>
    </row>
    <row r="2" customFormat="false" ht="15" hidden="false" customHeight="false" outlineLevel="0" collapsed="false">
      <c r="A2" s="32" t="s">
        <v>91</v>
      </c>
    </row>
    <row r="4" customFormat="false" ht="25.5" hidden="false" customHeight="true" outlineLevel="0" collapsed="false">
      <c r="A4" s="9"/>
      <c r="B4" s="9" t="s">
        <v>92</v>
      </c>
      <c r="C4" s="9" t="s">
        <v>93</v>
      </c>
      <c r="D4" s="9" t="s">
        <v>74</v>
      </c>
      <c r="E4" s="9" t="s">
        <v>94</v>
      </c>
      <c r="F4" s="9" t="s">
        <v>95</v>
      </c>
      <c r="G4" s="9" t="s">
        <v>84</v>
      </c>
      <c r="H4" s="9" t="s">
        <v>85</v>
      </c>
      <c r="I4" s="9" t="s">
        <v>77</v>
      </c>
    </row>
    <row r="5" customFormat="false" ht="15" hidden="false" customHeight="false" outlineLevel="0" collapsed="false">
      <c r="A5" s="33" t="s">
        <v>96</v>
      </c>
      <c r="B5" s="34" t="n">
        <f aca="false">COUNTIFS('Registo Diário'!$D$3:$D$403,$A5)</f>
        <v>0</v>
      </c>
      <c r="C5" s="35" t="n">
        <f aca="false">SUMIFS('Registo Diário'!$H$3:$H$403,'Registo Diário'!$D$3:$D$403,$A5)</f>
        <v>0</v>
      </c>
      <c r="D5" s="36" t="n">
        <f aca="false">SUMIFS('Registo Diário'!$J$3:$J$403,'Registo Diário'!$D$3:$D$403,$A5)</f>
        <v>0</v>
      </c>
      <c r="E5" s="36" t="n">
        <f aca="false">SUMIFS('Registo Diário'!$R$3:$R$403,'Registo Diário'!$D$3:$D$403,$A5)</f>
        <v>0</v>
      </c>
      <c r="F5" s="37" t="str">
        <f aca="false">IF($C5=0,"",$E5/$C5)</f>
        <v/>
      </c>
      <c r="G5" s="36" t="str">
        <f aca="false">IF($I5=0,"",$E5/$I5)</f>
        <v/>
      </c>
      <c r="H5" s="35" t="str">
        <f aca="false">IF($C5=0,"",SUMIFS('Registo Diário'!$I$3:$I$403,'Registo Diário'!$D$3:$D$403,$A5)/$C5)</f>
        <v/>
      </c>
      <c r="I5" s="34" t="n">
        <f aca="false">SUMIFS('Registo Diário'!$M$3:$M$403,'Registo Diário'!$D$3:$D$403,$A5)</f>
        <v>0</v>
      </c>
    </row>
    <row r="6" customFormat="false" ht="15" hidden="false" customHeight="false" outlineLevel="0" collapsed="false">
      <c r="A6" s="33" t="s">
        <v>97</v>
      </c>
      <c r="B6" s="34" t="n">
        <f aca="false">COUNTIFS('Registo Diário'!$D$3:$D$403,$A6)</f>
        <v>0</v>
      </c>
      <c r="C6" s="35" t="n">
        <f aca="false">SUMIFS('Registo Diário'!$H$3:$H$403,'Registo Diário'!$D$3:$D$403,$A6)</f>
        <v>0</v>
      </c>
      <c r="D6" s="36" t="n">
        <f aca="false">SUMIFS('Registo Diário'!$J$3:$J$403,'Registo Diário'!$D$3:$D$403,$A6)</f>
        <v>0</v>
      </c>
      <c r="E6" s="36" t="n">
        <f aca="false">SUMIFS('Registo Diário'!$R$3:$R$403,'Registo Diário'!$D$3:$D$403,$A6)</f>
        <v>0</v>
      </c>
      <c r="F6" s="37" t="str">
        <f aca="false">IF($C6=0,"",$E6/$C6)</f>
        <v/>
      </c>
      <c r="G6" s="36" t="str">
        <f aca="false">IF($I6=0,"",$E6/$I6)</f>
        <v/>
      </c>
      <c r="H6" s="35" t="str">
        <f aca="false">IF($C6=0,"",SUMIFS('Registo Diário'!$I$3:$I$403,'Registo Diário'!$D$3:$D$403,$A6)/$C6)</f>
        <v/>
      </c>
      <c r="I6" s="34" t="n">
        <f aca="false">SUMIFS('Registo Diário'!$M$3:$M$403,'Registo Diário'!$D$3:$D$403,$A6)</f>
        <v>0</v>
      </c>
    </row>
    <row r="7" customFormat="false" ht="15" hidden="false" customHeight="false" outlineLevel="0" collapsed="false">
      <c r="A7" s="33" t="s">
        <v>98</v>
      </c>
      <c r="B7" s="34" t="n">
        <f aca="false">COUNTIFS('Registo Diário'!$D$3:$D$403,$A7)</f>
        <v>0</v>
      </c>
      <c r="C7" s="35" t="n">
        <f aca="false">SUMIFS('Registo Diário'!$H$3:$H$403,'Registo Diário'!$D$3:$D$403,$A7)</f>
        <v>0</v>
      </c>
      <c r="D7" s="36" t="n">
        <f aca="false">SUMIFS('Registo Diário'!$J$3:$J$403,'Registo Diário'!$D$3:$D$403,$A7)</f>
        <v>0</v>
      </c>
      <c r="E7" s="36" t="n">
        <f aca="false">SUMIFS('Registo Diário'!$R$3:$R$403,'Registo Diário'!$D$3:$D$403,$A7)</f>
        <v>0</v>
      </c>
      <c r="F7" s="37" t="str">
        <f aca="false">IF($C7=0,"",$E7/$C7)</f>
        <v/>
      </c>
      <c r="G7" s="36" t="str">
        <f aca="false">IF($I7=0,"",$E7/$I7)</f>
        <v/>
      </c>
      <c r="H7" s="35" t="str">
        <f aca="false">IF($C7=0,"",SUMIFS('Registo Diário'!$I$3:$I$403,'Registo Diário'!$D$3:$D$403,$A7)/$C7)</f>
        <v/>
      </c>
      <c r="I7" s="34" t="n">
        <f aca="false">SUMIFS('Registo Diário'!$M$3:$M$403,'Registo Diário'!$D$3:$D$403,$A7)</f>
        <v>0</v>
      </c>
    </row>
    <row r="8" customFormat="false" ht="15" hidden="false" customHeight="false" outlineLevel="0" collapsed="false">
      <c r="A8" s="33" t="s">
        <v>99</v>
      </c>
      <c r="B8" s="34" t="n">
        <f aca="false">COUNTIFS('Registo Diário'!$D$3:$D$403,$A8)</f>
        <v>0</v>
      </c>
      <c r="C8" s="35" t="n">
        <f aca="false">SUMIFS('Registo Diário'!$H$3:$H$403,'Registo Diário'!$D$3:$D$403,$A8)</f>
        <v>0</v>
      </c>
      <c r="D8" s="36" t="n">
        <f aca="false">SUMIFS('Registo Diário'!$J$3:$J$403,'Registo Diário'!$D$3:$D$403,$A8)</f>
        <v>0</v>
      </c>
      <c r="E8" s="36" t="n">
        <f aca="false">SUMIFS('Registo Diário'!$R$3:$R$403,'Registo Diário'!$D$3:$D$403,$A8)</f>
        <v>0</v>
      </c>
      <c r="F8" s="37" t="str">
        <f aca="false">IF($C8=0,"",$E8/$C8)</f>
        <v/>
      </c>
      <c r="G8" s="36" t="str">
        <f aca="false">IF($I8=0,"",$E8/$I8)</f>
        <v/>
      </c>
      <c r="H8" s="35" t="str">
        <f aca="false">IF($C8=0,"",SUMIFS('Registo Diário'!$I$3:$I$403,'Registo Diário'!$D$3:$D$403,$A8)/$C8)</f>
        <v/>
      </c>
      <c r="I8" s="34" t="n">
        <f aca="false">SUMIFS('Registo Diário'!$M$3:$M$403,'Registo Diário'!$D$3:$D$403,$A8)</f>
        <v>0</v>
      </c>
    </row>
    <row r="9" customFormat="false" ht="15" hidden="false" customHeight="false" outlineLevel="0" collapsed="false">
      <c r="A9" s="33" t="s">
        <v>100</v>
      </c>
      <c r="B9" s="34" t="n">
        <f aca="false">COUNTIFS('Registo Diário'!$D$3:$D$403,$A9)</f>
        <v>0</v>
      </c>
      <c r="C9" s="35" t="n">
        <f aca="false">SUMIFS('Registo Diário'!$H$3:$H$403,'Registo Diário'!$D$3:$D$403,$A9)</f>
        <v>0</v>
      </c>
      <c r="D9" s="36" t="n">
        <f aca="false">SUMIFS('Registo Diário'!$J$3:$J$403,'Registo Diário'!$D$3:$D$403,$A9)</f>
        <v>0</v>
      </c>
      <c r="E9" s="36" t="n">
        <f aca="false">SUMIFS('Registo Diário'!$R$3:$R$403,'Registo Diário'!$D$3:$D$403,$A9)</f>
        <v>0</v>
      </c>
      <c r="F9" s="37" t="str">
        <f aca="false">IF($C9=0,"",$E9/$C9)</f>
        <v/>
      </c>
      <c r="G9" s="36" t="str">
        <f aca="false">IF($I9=0,"",$E9/$I9)</f>
        <v/>
      </c>
      <c r="H9" s="35" t="str">
        <f aca="false">IF($C9=0,"",SUMIFS('Registo Diário'!$I$3:$I$403,'Registo Diário'!$D$3:$D$403,$A9)/$C9)</f>
        <v/>
      </c>
      <c r="I9" s="34" t="n">
        <f aca="false">SUMIFS('Registo Diário'!$M$3:$M$403,'Registo Diário'!$D$3:$D$403,$A9)</f>
        <v>0</v>
      </c>
    </row>
    <row r="10" customFormat="false" ht="15" hidden="false" customHeight="false" outlineLevel="0" collapsed="false">
      <c r="A10" s="33" t="s">
        <v>101</v>
      </c>
      <c r="B10" s="34" t="n">
        <f aca="false">COUNTIFS('Registo Diário'!$D$3:$D$403,$A10)</f>
        <v>0</v>
      </c>
      <c r="C10" s="35" t="n">
        <f aca="false">SUMIFS('Registo Diário'!$H$3:$H$403,'Registo Diário'!$D$3:$D$403,$A10)</f>
        <v>0</v>
      </c>
      <c r="D10" s="36" t="n">
        <f aca="false">SUMIFS('Registo Diário'!$J$3:$J$403,'Registo Diário'!$D$3:$D$403,$A10)</f>
        <v>0</v>
      </c>
      <c r="E10" s="36" t="n">
        <f aca="false">SUMIFS('Registo Diário'!$R$3:$R$403,'Registo Diário'!$D$3:$D$403,$A10)</f>
        <v>0</v>
      </c>
      <c r="F10" s="37" t="str">
        <f aca="false">IF($C10=0,"",$E10/$C10)</f>
        <v/>
      </c>
      <c r="G10" s="36" t="str">
        <f aca="false">IF($I10=0,"",$E10/$I10)</f>
        <v/>
      </c>
      <c r="H10" s="35" t="str">
        <f aca="false">IF($C10=0,"",SUMIFS('Registo Diário'!$I$3:$I$403,'Registo Diário'!$D$3:$D$403,$A10)/$C10)</f>
        <v/>
      </c>
      <c r="I10" s="34" t="n">
        <f aca="false">SUMIFS('Registo Diário'!$M$3:$M$403,'Registo Diário'!$D$3:$D$403,$A10)</f>
        <v>0</v>
      </c>
    </row>
    <row r="11" customFormat="false" ht="15" hidden="false" customHeight="false" outlineLevel="0" collapsed="false">
      <c r="A11" s="33" t="s">
        <v>87</v>
      </c>
      <c r="B11" s="34" t="n">
        <f aca="false">COUNTIFS('Registo Diário'!$D$3:$D$403,$A11)</f>
        <v>1</v>
      </c>
      <c r="C11" s="35" t="n">
        <f aca="false">SUMIFS('Registo Diário'!$H$3:$H$403,'Registo Diário'!$D$3:$D$403,$A11)</f>
        <v>6.5</v>
      </c>
      <c r="D11" s="36" t="n">
        <f aca="false">SUMIFS('Registo Diário'!$J$3:$J$403,'Registo Diário'!$D$3:$D$403,$A11)</f>
        <v>168.4</v>
      </c>
      <c r="E11" s="36" t="n">
        <f aca="false">SUMIFS('Registo Diário'!$R$3:$R$403,'Registo Diário'!$D$3:$D$403,$A11)</f>
        <v>112.14</v>
      </c>
      <c r="F11" s="37" t="n">
        <f aca="false">IF($C11=0,"",$E11/$C11)</f>
        <v>17.2523076923077</v>
      </c>
      <c r="G11" s="36" t="n">
        <f aca="false">IF($I11=0,"",$E11/$I11)</f>
        <v>0.919180327868853</v>
      </c>
      <c r="H11" s="35" t="n">
        <f aca="false">IF($C11=0,"",SUMIFS('Registo Diário'!$I$3:$I$403,'Registo Diário'!$D$3:$D$403,$A11)/$C11)</f>
        <v>2.15384615384615</v>
      </c>
      <c r="I11" s="34" t="n">
        <f aca="false">SUMIFS('Registo Diário'!$M$3:$M$403,'Registo Diário'!$D$3:$D$403,$A11)</f>
        <v>122</v>
      </c>
    </row>
    <row r="12" customFormat="false" ht="15" hidden="false" customHeight="false" outlineLevel="0" collapsed="false">
      <c r="A12" s="33" t="s">
        <v>102</v>
      </c>
      <c r="B12" s="34" t="n">
        <f aca="false">COUNTIFS('Registo Diário'!$D$3:$D$403,$A12)</f>
        <v>0</v>
      </c>
      <c r="C12" s="35" t="n">
        <f aca="false">SUMIFS('Registo Diário'!$H$3:$H$403,'Registo Diário'!$D$3:$D$403,$A12)</f>
        <v>0</v>
      </c>
      <c r="D12" s="36" t="n">
        <f aca="false">SUMIFS('Registo Diário'!$J$3:$J$403,'Registo Diário'!$D$3:$D$403,$A12)</f>
        <v>0</v>
      </c>
      <c r="E12" s="36" t="n">
        <f aca="false">SUMIFS('Registo Diário'!$R$3:$R$403,'Registo Diário'!$D$3:$D$403,$A12)</f>
        <v>0</v>
      </c>
      <c r="F12" s="37" t="str">
        <f aca="false">IF($C12=0,"",$E12/$C12)</f>
        <v/>
      </c>
      <c r="G12" s="36" t="str">
        <f aca="false">IF($I12=0,"",$E12/$I12)</f>
        <v/>
      </c>
      <c r="H12" s="35" t="str">
        <f aca="false">IF($C12=0,"",SUMIFS('Registo Diário'!$I$3:$I$403,'Registo Diário'!$D$3:$D$403,$A12)/$C12)</f>
        <v/>
      </c>
      <c r="I12" s="34" t="n">
        <f aca="false">SUMIFS('Registo Diário'!$M$3:$M$403,'Registo Diário'!$D$3:$D$403,$A12)</f>
        <v>0</v>
      </c>
    </row>
    <row r="13" customFormat="false" ht="15" hidden="false" customHeight="false" outlineLevel="0" collapsed="false">
      <c r="A13" s="38" t="s">
        <v>103</v>
      </c>
      <c r="B13" s="39" t="n">
        <f aca="false">SUM(B5:B12)</f>
        <v>1</v>
      </c>
      <c r="C13" s="40" t="n">
        <f aca="false">SUM(C5:C12)</f>
        <v>6.5</v>
      </c>
      <c r="D13" s="41" t="n">
        <f aca="false">SUM(D5:D12)</f>
        <v>168.4</v>
      </c>
      <c r="E13" s="41" t="n">
        <f aca="false">SUM(E5:E12)</f>
        <v>112.14</v>
      </c>
      <c r="F13" s="41" t="n">
        <f aca="false">IF($C13=0,"",$E13/$C13)</f>
        <v>17.2523076923077</v>
      </c>
      <c r="G13" s="41" t="n">
        <f aca="false">IF($I13=0,"",$E13/$I13)</f>
        <v>0.919180327868853</v>
      </c>
      <c r="H13" s="40" t="n">
        <f aca="false">IF($C13=0,"",SUMPRODUCT($H5:$H12,$C5:$C12)/$C13)</f>
        <v>2.15384615384615</v>
      </c>
      <c r="I13" s="39" t="n">
        <f aca="false">SUM(I5:I12)</f>
        <v>122</v>
      </c>
    </row>
  </sheetData>
  <conditionalFormatting sqref="F5:F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31" t="s">
        <v>104</v>
      </c>
    </row>
    <row r="2" customFormat="false" ht="15" hidden="false" customHeight="false" outlineLevel="0" collapsed="false">
      <c r="A2" s="32" t="s">
        <v>105</v>
      </c>
    </row>
    <row r="4" customFormat="false" ht="25.5" hidden="false" customHeight="true" outlineLevel="0" collapsed="false">
      <c r="A4" s="9"/>
      <c r="B4" s="9" t="s">
        <v>92</v>
      </c>
      <c r="C4" s="9" t="s">
        <v>93</v>
      </c>
      <c r="D4" s="9" t="s">
        <v>74</v>
      </c>
      <c r="E4" s="9" t="s">
        <v>94</v>
      </c>
      <c r="F4" s="9" t="s">
        <v>95</v>
      </c>
      <c r="G4" s="9" t="s">
        <v>84</v>
      </c>
      <c r="H4" s="9" t="s">
        <v>85</v>
      </c>
      <c r="I4" s="9" t="s">
        <v>77</v>
      </c>
    </row>
    <row r="5" customFormat="false" ht="15" hidden="false" customHeight="false" outlineLevel="0" collapsed="false">
      <c r="A5" s="33" t="s">
        <v>30</v>
      </c>
      <c r="B5" s="34" t="n">
        <f aca="false">COUNTIFS('Registo Diário'!$E$3:$E$403,$A5)</f>
        <v>0</v>
      </c>
      <c r="C5" s="35" t="n">
        <f aca="false">SUMIFS('Registo Diário'!$H$3:$H$403,'Registo Diário'!$E$3:$E$403,$A5)</f>
        <v>0</v>
      </c>
      <c r="D5" s="36" t="n">
        <f aca="false">SUMIFS('Registo Diário'!$J$3:$J$403,'Registo Diário'!$E$3:$E$403,$A5)</f>
        <v>0</v>
      </c>
      <c r="E5" s="36" t="n">
        <f aca="false">SUMIFS('Registo Diário'!$R$3:$R$403,'Registo Diário'!$E$3:$E$403,$A5)</f>
        <v>0</v>
      </c>
      <c r="F5" s="37" t="str">
        <f aca="false">IF($C5=0,"",$E5/$C5)</f>
        <v/>
      </c>
      <c r="G5" s="36" t="str">
        <f aca="false">IF($I5=0,"",$E5/$I5)</f>
        <v/>
      </c>
      <c r="H5" s="35" t="str">
        <f aca="false">IF($C5=0,"",SUMIFS('Registo Diário'!$I$3:$I$403,'Registo Diário'!$E$3:$E$403,$A5)/$C5)</f>
        <v/>
      </c>
      <c r="I5" s="34" t="n">
        <f aca="false">SUMIFS('Registo Diário'!$M$3:$M$403,'Registo Diário'!$E$3:$E$403,$A5)</f>
        <v>0</v>
      </c>
    </row>
    <row r="6" customFormat="false" ht="15" hidden="false" customHeight="false" outlineLevel="0" collapsed="false">
      <c r="A6" s="33" t="s">
        <v>34</v>
      </c>
      <c r="B6" s="34" t="n">
        <f aca="false">COUNTIFS('Registo Diário'!$E$3:$E$403,$A6)</f>
        <v>0</v>
      </c>
      <c r="C6" s="35" t="n">
        <f aca="false">SUMIFS('Registo Diário'!$H$3:$H$403,'Registo Diário'!$E$3:$E$403,$A6)</f>
        <v>0</v>
      </c>
      <c r="D6" s="36" t="n">
        <f aca="false">SUMIFS('Registo Diário'!$J$3:$J$403,'Registo Diário'!$E$3:$E$403,$A6)</f>
        <v>0</v>
      </c>
      <c r="E6" s="36" t="n">
        <f aca="false">SUMIFS('Registo Diário'!$R$3:$R$403,'Registo Diário'!$E$3:$E$403,$A6)</f>
        <v>0</v>
      </c>
      <c r="F6" s="37" t="str">
        <f aca="false">IF($C6=0,"",$E6/$C6)</f>
        <v/>
      </c>
      <c r="G6" s="36" t="str">
        <f aca="false">IF($I6=0,"",$E6/$I6)</f>
        <v/>
      </c>
      <c r="H6" s="35" t="str">
        <f aca="false">IF($C6=0,"",SUMIFS('Registo Diário'!$I$3:$I$403,'Registo Diário'!$E$3:$E$403,$A6)/$C6)</f>
        <v/>
      </c>
      <c r="I6" s="34" t="n">
        <f aca="false">SUMIFS('Registo Diário'!$M$3:$M$403,'Registo Diário'!$E$3:$E$403,$A6)</f>
        <v>0</v>
      </c>
    </row>
    <row r="7" customFormat="false" ht="15" hidden="false" customHeight="false" outlineLevel="0" collapsed="false">
      <c r="A7" s="33" t="s">
        <v>106</v>
      </c>
      <c r="B7" s="34" t="n">
        <f aca="false">COUNTIFS('Registo Diário'!$E$3:$E$403,$A7)</f>
        <v>0</v>
      </c>
      <c r="C7" s="35" t="n">
        <f aca="false">SUMIFS('Registo Diário'!$H$3:$H$403,'Registo Diário'!$E$3:$E$403,$A7)</f>
        <v>0</v>
      </c>
      <c r="D7" s="36" t="n">
        <f aca="false">SUMIFS('Registo Diário'!$J$3:$J$403,'Registo Diário'!$E$3:$E$403,$A7)</f>
        <v>0</v>
      </c>
      <c r="E7" s="36" t="n">
        <f aca="false">SUMIFS('Registo Diário'!$R$3:$R$403,'Registo Diário'!$E$3:$E$403,$A7)</f>
        <v>0</v>
      </c>
      <c r="F7" s="37" t="str">
        <f aca="false">IF($C7=0,"",$E7/$C7)</f>
        <v/>
      </c>
      <c r="G7" s="36" t="str">
        <f aca="false">IF($I7=0,"",$E7/$I7)</f>
        <v/>
      </c>
      <c r="H7" s="35" t="str">
        <f aca="false">IF($C7=0,"",SUMIFS('Registo Diário'!$I$3:$I$403,'Registo Diário'!$E$3:$E$403,$A7)/$C7)</f>
        <v/>
      </c>
      <c r="I7" s="34" t="n">
        <f aca="false">SUMIFS('Registo Diário'!$M$3:$M$403,'Registo Diário'!$E$3:$E$403,$A7)</f>
        <v>0</v>
      </c>
    </row>
    <row r="8" customFormat="false" ht="15" hidden="false" customHeight="false" outlineLevel="0" collapsed="false">
      <c r="A8" s="33" t="s">
        <v>88</v>
      </c>
      <c r="B8" s="34" t="n">
        <f aca="false">COUNTIFS('Registo Diário'!$E$3:$E$403,$A8)</f>
        <v>1</v>
      </c>
      <c r="C8" s="35" t="n">
        <f aca="false">SUMIFS('Registo Diário'!$H$3:$H$403,'Registo Diário'!$E$3:$E$403,$A8)</f>
        <v>6.5</v>
      </c>
      <c r="D8" s="36" t="n">
        <f aca="false">SUMIFS('Registo Diário'!$J$3:$J$403,'Registo Diário'!$E$3:$E$403,$A8)</f>
        <v>168.4</v>
      </c>
      <c r="E8" s="36" t="n">
        <f aca="false">SUMIFS('Registo Diário'!$R$3:$R$403,'Registo Diário'!$E$3:$E$403,$A8)</f>
        <v>112.14</v>
      </c>
      <c r="F8" s="37" t="n">
        <f aca="false">IF($C8=0,"",$E8/$C8)</f>
        <v>17.2523076923077</v>
      </c>
      <c r="G8" s="36" t="n">
        <f aca="false">IF($I8=0,"",$E8/$I8)</f>
        <v>0.919180327868853</v>
      </c>
      <c r="H8" s="35" t="n">
        <f aca="false">IF($C8=0,"",SUMIFS('Registo Diário'!$I$3:$I$403,'Registo Diário'!$E$3:$E$403,$A8)/$C8)</f>
        <v>2.15384615384615</v>
      </c>
      <c r="I8" s="34" t="n">
        <f aca="false">SUMIFS('Registo Diário'!$M$3:$M$403,'Registo Diário'!$E$3:$E$403,$A8)</f>
        <v>122</v>
      </c>
    </row>
    <row r="9" customFormat="false" ht="15" hidden="false" customHeight="false" outlineLevel="0" collapsed="false">
      <c r="A9" s="33" t="s">
        <v>107</v>
      </c>
      <c r="B9" s="34" t="n">
        <f aca="false">COUNTIFS('Registo Diário'!$E$3:$E$403,$A9)</f>
        <v>0</v>
      </c>
      <c r="C9" s="35" t="n">
        <f aca="false">SUMIFS('Registo Diário'!$H$3:$H$403,'Registo Diário'!$E$3:$E$403,$A9)</f>
        <v>0</v>
      </c>
      <c r="D9" s="36" t="n">
        <f aca="false">SUMIFS('Registo Diário'!$J$3:$J$403,'Registo Diário'!$E$3:$E$403,$A9)</f>
        <v>0</v>
      </c>
      <c r="E9" s="36" t="n">
        <f aca="false">SUMIFS('Registo Diário'!$R$3:$R$403,'Registo Diário'!$E$3:$E$403,$A9)</f>
        <v>0</v>
      </c>
      <c r="F9" s="37" t="str">
        <f aca="false">IF($C9=0,"",$E9/$C9)</f>
        <v/>
      </c>
      <c r="G9" s="36" t="str">
        <f aca="false">IF($I9=0,"",$E9/$I9)</f>
        <v/>
      </c>
      <c r="H9" s="35" t="str">
        <f aca="false">IF($C9=0,"",SUMIFS('Registo Diário'!$I$3:$I$403,'Registo Diário'!$E$3:$E$403,$A9)/$C9)</f>
        <v/>
      </c>
      <c r="I9" s="34" t="n">
        <f aca="false">SUMIFS('Registo Diário'!$M$3:$M$403,'Registo Diário'!$E$3:$E$403,$A9)</f>
        <v>0</v>
      </c>
    </row>
    <row r="10" customFormat="false" ht="15" hidden="false" customHeight="false" outlineLevel="0" collapsed="false">
      <c r="A10" s="33" t="s">
        <v>108</v>
      </c>
      <c r="B10" s="34" t="n">
        <f aca="false">COUNTIFS('Registo Diário'!$E$3:$E$403,$A10)</f>
        <v>0</v>
      </c>
      <c r="C10" s="35" t="n">
        <f aca="false">SUMIFS('Registo Diário'!$H$3:$H$403,'Registo Diário'!$E$3:$E$403,$A10)</f>
        <v>0</v>
      </c>
      <c r="D10" s="36" t="n">
        <f aca="false">SUMIFS('Registo Diário'!$J$3:$J$403,'Registo Diário'!$E$3:$E$403,$A10)</f>
        <v>0</v>
      </c>
      <c r="E10" s="36" t="n">
        <f aca="false">SUMIFS('Registo Diário'!$R$3:$R$403,'Registo Diário'!$E$3:$E$403,$A10)</f>
        <v>0</v>
      </c>
      <c r="F10" s="37" t="str">
        <f aca="false">IF($C10=0,"",$E10/$C10)</f>
        <v/>
      </c>
      <c r="G10" s="36" t="str">
        <f aca="false">IF($I10=0,"",$E10/$I10)</f>
        <v/>
      </c>
      <c r="H10" s="35" t="str">
        <f aca="false">IF($C10=0,"",SUMIFS('Registo Diário'!$I$3:$I$403,'Registo Diário'!$E$3:$E$403,$A10)/$C10)</f>
        <v/>
      </c>
      <c r="I10" s="34" t="n">
        <f aca="false">SUMIFS('Registo Diário'!$M$3:$M$403,'Registo Diário'!$E$3:$E$403,$A10)</f>
        <v>0</v>
      </c>
    </row>
    <row r="11" customFormat="false" ht="15" hidden="false" customHeight="false" outlineLevel="0" collapsed="false">
      <c r="A11" s="33" t="s">
        <v>38</v>
      </c>
      <c r="B11" s="34" t="n">
        <f aca="false">COUNTIFS('Registo Diário'!$E$3:$E$403,$A11)</f>
        <v>0</v>
      </c>
      <c r="C11" s="35" t="n">
        <f aca="false">SUMIFS('Registo Diário'!$H$3:$H$403,'Registo Diário'!$E$3:$E$403,$A11)</f>
        <v>0</v>
      </c>
      <c r="D11" s="36" t="n">
        <f aca="false">SUMIFS('Registo Diário'!$J$3:$J$403,'Registo Diário'!$E$3:$E$403,$A11)</f>
        <v>0</v>
      </c>
      <c r="E11" s="36" t="n">
        <f aca="false">SUMIFS('Registo Diário'!$R$3:$R$403,'Registo Diário'!$E$3:$E$403,$A11)</f>
        <v>0</v>
      </c>
      <c r="F11" s="37" t="str">
        <f aca="false">IF($C11=0,"",$E11/$C11)</f>
        <v/>
      </c>
      <c r="G11" s="36" t="str">
        <f aca="false">IF($I11=0,"",$E11/$I11)</f>
        <v/>
      </c>
      <c r="H11" s="35" t="str">
        <f aca="false">IF($C11=0,"",SUMIFS('Registo Diário'!$I$3:$I$403,'Registo Diário'!$E$3:$E$403,$A11)/$C11)</f>
        <v/>
      </c>
      <c r="I11" s="34" t="n">
        <f aca="false">SUMIFS('Registo Diário'!$M$3:$M$403,'Registo Diário'!$E$3:$E$403,$A11)</f>
        <v>0</v>
      </c>
    </row>
    <row r="12" customFormat="false" ht="15" hidden="false" customHeight="false" outlineLevel="0" collapsed="false">
      <c r="A12" s="33" t="s">
        <v>109</v>
      </c>
      <c r="B12" s="34" t="n">
        <f aca="false">COUNTIFS('Registo Diário'!$E$3:$E$403,$A12)</f>
        <v>0</v>
      </c>
      <c r="C12" s="35" t="n">
        <f aca="false">SUMIFS('Registo Diário'!$H$3:$H$403,'Registo Diário'!$E$3:$E$403,$A12)</f>
        <v>0</v>
      </c>
      <c r="D12" s="36" t="n">
        <f aca="false">SUMIFS('Registo Diário'!$J$3:$J$403,'Registo Diário'!$E$3:$E$403,$A12)</f>
        <v>0</v>
      </c>
      <c r="E12" s="36" t="n">
        <f aca="false">SUMIFS('Registo Diário'!$R$3:$R$403,'Registo Diário'!$E$3:$E$403,$A12)</f>
        <v>0</v>
      </c>
      <c r="F12" s="37" t="str">
        <f aca="false">IF($C12=0,"",$E12/$C12)</f>
        <v/>
      </c>
      <c r="G12" s="36" t="str">
        <f aca="false">IF($I12=0,"",$E12/$I12)</f>
        <v/>
      </c>
      <c r="H12" s="35" t="str">
        <f aca="false">IF($C12=0,"",SUMIFS('Registo Diário'!$I$3:$I$403,'Registo Diário'!$E$3:$E$403,$A12)/$C12)</f>
        <v/>
      </c>
      <c r="I12" s="34" t="n">
        <f aca="false">SUMIFS('Registo Diário'!$M$3:$M$403,'Registo Diário'!$E$3:$E$403,$A12)</f>
        <v>0</v>
      </c>
    </row>
    <row r="13" customFormat="false" ht="15" hidden="false" customHeight="false" outlineLevel="0" collapsed="false">
      <c r="A13" s="33" t="s">
        <v>110</v>
      </c>
      <c r="B13" s="34" t="n">
        <f aca="false">COUNTIFS('Registo Diário'!$E$3:$E$403,$A13)</f>
        <v>0</v>
      </c>
      <c r="C13" s="35" t="n">
        <f aca="false">SUMIFS('Registo Diário'!$H$3:$H$403,'Registo Diário'!$E$3:$E$403,$A13)</f>
        <v>0</v>
      </c>
      <c r="D13" s="36" t="n">
        <f aca="false">SUMIFS('Registo Diário'!$J$3:$J$403,'Registo Diário'!$E$3:$E$403,$A13)</f>
        <v>0</v>
      </c>
      <c r="E13" s="36" t="n">
        <f aca="false">SUMIFS('Registo Diário'!$R$3:$R$403,'Registo Diário'!$E$3:$E$403,$A13)</f>
        <v>0</v>
      </c>
      <c r="F13" s="37" t="str">
        <f aca="false">IF($C13=0,"",$E13/$C13)</f>
        <v/>
      </c>
      <c r="G13" s="36" t="str">
        <f aca="false">IF($I13=0,"",$E13/$I13)</f>
        <v/>
      </c>
      <c r="H13" s="35" t="str">
        <f aca="false">IF($C13=0,"",SUMIFS('Registo Diário'!$I$3:$I$403,'Registo Diário'!$E$3:$E$403,$A13)/$C13)</f>
        <v/>
      </c>
      <c r="I13" s="34" t="n">
        <f aca="false">SUMIFS('Registo Diário'!$M$3:$M$403,'Registo Diário'!$E$3:$E$403,$A13)</f>
        <v>0</v>
      </c>
    </row>
    <row r="14" customFormat="false" ht="15" hidden="false" customHeight="false" outlineLevel="0" collapsed="false">
      <c r="A14" s="33" t="s">
        <v>111</v>
      </c>
      <c r="B14" s="34" t="n">
        <f aca="false">COUNTIFS('Registo Diário'!$E$3:$E$403,$A14)</f>
        <v>0</v>
      </c>
      <c r="C14" s="35" t="n">
        <f aca="false">SUMIFS('Registo Diário'!$H$3:$H$403,'Registo Diário'!$E$3:$E$403,$A14)</f>
        <v>0</v>
      </c>
      <c r="D14" s="36" t="n">
        <f aca="false">SUMIFS('Registo Diário'!$J$3:$J$403,'Registo Diário'!$E$3:$E$403,$A14)</f>
        <v>0</v>
      </c>
      <c r="E14" s="36" t="n">
        <f aca="false">SUMIFS('Registo Diário'!$R$3:$R$403,'Registo Diário'!$E$3:$E$403,$A14)</f>
        <v>0</v>
      </c>
      <c r="F14" s="37" t="str">
        <f aca="false">IF($C14=0,"",$E14/$C14)</f>
        <v/>
      </c>
      <c r="G14" s="36" t="str">
        <f aca="false">IF($I14=0,"",$E14/$I14)</f>
        <v/>
      </c>
      <c r="H14" s="35" t="str">
        <f aca="false">IF($C14=0,"",SUMIFS('Registo Diário'!$I$3:$I$403,'Registo Diário'!$E$3:$E$403,$A14)/$C14)</f>
        <v/>
      </c>
      <c r="I14" s="34" t="n">
        <f aca="false">SUMIFS('Registo Diário'!$M$3:$M$403,'Registo Diário'!$E$3:$E$403,$A14)</f>
        <v>0</v>
      </c>
    </row>
    <row r="15" customFormat="false" ht="15" hidden="false" customHeight="false" outlineLevel="0" collapsed="false">
      <c r="A15" s="33" t="s">
        <v>112</v>
      </c>
      <c r="B15" s="34" t="n">
        <f aca="false">COUNTIFS('Registo Diário'!$E$3:$E$403,$A15)</f>
        <v>0</v>
      </c>
      <c r="C15" s="35" t="n">
        <f aca="false">SUMIFS('Registo Diário'!$H$3:$H$403,'Registo Diário'!$E$3:$E$403,$A15)</f>
        <v>0</v>
      </c>
      <c r="D15" s="36" t="n">
        <f aca="false">SUMIFS('Registo Diário'!$J$3:$J$403,'Registo Diário'!$E$3:$E$403,$A15)</f>
        <v>0</v>
      </c>
      <c r="E15" s="36" t="n">
        <f aca="false">SUMIFS('Registo Diário'!$R$3:$R$403,'Registo Diário'!$E$3:$E$403,$A15)</f>
        <v>0</v>
      </c>
      <c r="F15" s="37" t="str">
        <f aca="false">IF($C15=0,"",$E15/$C15)</f>
        <v/>
      </c>
      <c r="G15" s="36" t="str">
        <f aca="false">IF($I15=0,"",$E15/$I15)</f>
        <v/>
      </c>
      <c r="H15" s="35" t="str">
        <f aca="false">IF($C15=0,"",SUMIFS('Registo Diário'!$I$3:$I$403,'Registo Diário'!$E$3:$E$403,$A15)/$C15)</f>
        <v/>
      </c>
      <c r="I15" s="34" t="n">
        <f aca="false">SUMIFS('Registo Diário'!$M$3:$M$403,'Registo Diário'!$E$3:$E$403,$A15)</f>
        <v>0</v>
      </c>
    </row>
    <row r="16" customFormat="false" ht="15" hidden="false" customHeight="false" outlineLevel="0" collapsed="false">
      <c r="A16" s="33" t="s">
        <v>113</v>
      </c>
      <c r="B16" s="34" t="n">
        <f aca="false">COUNTIFS('Registo Diário'!$E$3:$E$403,$A16)</f>
        <v>0</v>
      </c>
      <c r="C16" s="35" t="n">
        <f aca="false">SUMIFS('Registo Diário'!$H$3:$H$403,'Registo Diário'!$E$3:$E$403,$A16)</f>
        <v>0</v>
      </c>
      <c r="D16" s="36" t="n">
        <f aca="false">SUMIFS('Registo Diário'!$J$3:$J$403,'Registo Diário'!$E$3:$E$403,$A16)</f>
        <v>0</v>
      </c>
      <c r="E16" s="36" t="n">
        <f aca="false">SUMIFS('Registo Diário'!$R$3:$R$403,'Registo Diário'!$E$3:$E$403,$A16)</f>
        <v>0</v>
      </c>
      <c r="F16" s="37" t="str">
        <f aca="false">IF($C16=0,"",$E16/$C16)</f>
        <v/>
      </c>
      <c r="G16" s="36" t="str">
        <f aca="false">IF($I16=0,"",$E16/$I16)</f>
        <v/>
      </c>
      <c r="H16" s="35" t="str">
        <f aca="false">IF($C16=0,"",SUMIFS('Registo Diário'!$I$3:$I$403,'Registo Diário'!$E$3:$E$403,$A16)/$C16)</f>
        <v/>
      </c>
      <c r="I16" s="34" t="n">
        <f aca="false">SUMIFS('Registo Diário'!$M$3:$M$403,'Registo Diário'!$E$3:$E$403,$A16)</f>
        <v>0</v>
      </c>
    </row>
    <row r="17" customFormat="false" ht="15" hidden="false" customHeight="false" outlineLevel="0" collapsed="false">
      <c r="A17" s="33" t="s">
        <v>114</v>
      </c>
      <c r="B17" s="34" t="n">
        <f aca="false">COUNTIFS('Registo Diário'!$E$3:$E$403,$A17)</f>
        <v>0</v>
      </c>
      <c r="C17" s="35" t="n">
        <f aca="false">SUMIFS('Registo Diário'!$H$3:$H$403,'Registo Diário'!$E$3:$E$403,$A17)</f>
        <v>0</v>
      </c>
      <c r="D17" s="36" t="n">
        <f aca="false">SUMIFS('Registo Diário'!$J$3:$J$403,'Registo Diário'!$E$3:$E$403,$A17)</f>
        <v>0</v>
      </c>
      <c r="E17" s="36" t="n">
        <f aca="false">SUMIFS('Registo Diário'!$R$3:$R$403,'Registo Diário'!$E$3:$E$403,$A17)</f>
        <v>0</v>
      </c>
      <c r="F17" s="37" t="str">
        <f aca="false">IF($C17=0,"",$E17/$C17)</f>
        <v/>
      </c>
      <c r="G17" s="36" t="str">
        <f aca="false">IF($I17=0,"",$E17/$I17)</f>
        <v/>
      </c>
      <c r="H17" s="35" t="str">
        <f aca="false">IF($C17=0,"",SUMIFS('Registo Diário'!$I$3:$I$403,'Registo Diário'!$E$3:$E$403,$A17)/$C17)</f>
        <v/>
      </c>
      <c r="I17" s="34" t="n">
        <f aca="false">SUMIFS('Registo Diário'!$M$3:$M$403,'Registo Diário'!$E$3:$E$403,$A17)</f>
        <v>0</v>
      </c>
    </row>
    <row r="18" customFormat="false" ht="15" hidden="false" customHeight="false" outlineLevel="0" collapsed="false">
      <c r="A18" s="33" t="s">
        <v>115</v>
      </c>
      <c r="B18" s="34" t="n">
        <f aca="false">COUNTIFS('Registo Diário'!$E$3:$E$403,$A18)</f>
        <v>0</v>
      </c>
      <c r="C18" s="35" t="n">
        <f aca="false">SUMIFS('Registo Diário'!$H$3:$H$403,'Registo Diário'!$E$3:$E$403,$A18)</f>
        <v>0</v>
      </c>
      <c r="D18" s="36" t="n">
        <f aca="false">SUMIFS('Registo Diário'!$J$3:$J$403,'Registo Diário'!$E$3:$E$403,$A18)</f>
        <v>0</v>
      </c>
      <c r="E18" s="36" t="n">
        <f aca="false">SUMIFS('Registo Diário'!$R$3:$R$403,'Registo Diário'!$E$3:$E$403,$A18)</f>
        <v>0</v>
      </c>
      <c r="F18" s="37" t="str">
        <f aca="false">IF($C18=0,"",$E18/$C18)</f>
        <v/>
      </c>
      <c r="G18" s="36" t="str">
        <f aca="false">IF($I18=0,"",$E18/$I18)</f>
        <v/>
      </c>
      <c r="H18" s="35" t="str">
        <f aca="false">IF($C18=0,"",SUMIFS('Registo Diário'!$I$3:$I$403,'Registo Diário'!$E$3:$E$403,$A18)/$C18)</f>
        <v/>
      </c>
      <c r="I18" s="34" t="n">
        <f aca="false">SUMIFS('Registo Diário'!$M$3:$M$403,'Registo Diário'!$E$3:$E$403,$A18)</f>
        <v>0</v>
      </c>
    </row>
    <row r="19" customFormat="false" ht="15" hidden="false" customHeight="false" outlineLevel="0" collapsed="false">
      <c r="A19" s="33" t="s">
        <v>116</v>
      </c>
      <c r="B19" s="34" t="n">
        <f aca="false">COUNTIFS('Registo Diário'!$E$3:$E$403,$A19)</f>
        <v>0</v>
      </c>
      <c r="C19" s="35" t="n">
        <f aca="false">SUMIFS('Registo Diário'!$H$3:$H$403,'Registo Diário'!$E$3:$E$403,$A19)</f>
        <v>0</v>
      </c>
      <c r="D19" s="36" t="n">
        <f aca="false">SUMIFS('Registo Diário'!$J$3:$J$403,'Registo Diário'!$E$3:$E$403,$A19)</f>
        <v>0</v>
      </c>
      <c r="E19" s="36" t="n">
        <f aca="false">SUMIFS('Registo Diário'!$R$3:$R$403,'Registo Diário'!$E$3:$E$403,$A19)</f>
        <v>0</v>
      </c>
      <c r="F19" s="37" t="str">
        <f aca="false">IF($C19=0,"",$E19/$C19)</f>
        <v/>
      </c>
      <c r="G19" s="36" t="str">
        <f aca="false">IF($I19=0,"",$E19/$I19)</f>
        <v/>
      </c>
      <c r="H19" s="35" t="str">
        <f aca="false">IF($C19=0,"",SUMIFS('Registo Diário'!$I$3:$I$403,'Registo Diário'!$E$3:$E$403,$A19)/$C19)</f>
        <v/>
      </c>
      <c r="I19" s="34" t="n">
        <f aca="false">SUMIFS('Registo Diário'!$M$3:$M$403,'Registo Diário'!$E$3:$E$403,$A19)</f>
        <v>0</v>
      </c>
    </row>
    <row r="20" customFormat="false" ht="15" hidden="false" customHeight="false" outlineLevel="0" collapsed="false">
      <c r="A20" s="33" t="s">
        <v>117</v>
      </c>
      <c r="B20" s="34" t="n">
        <f aca="false">COUNTIFS('Registo Diário'!$E$3:$E$403,$A20)</f>
        <v>0</v>
      </c>
      <c r="C20" s="35" t="n">
        <f aca="false">SUMIFS('Registo Diário'!$H$3:$H$403,'Registo Diário'!$E$3:$E$403,$A20)</f>
        <v>0</v>
      </c>
      <c r="D20" s="36" t="n">
        <f aca="false">SUMIFS('Registo Diário'!$J$3:$J$403,'Registo Diário'!$E$3:$E$403,$A20)</f>
        <v>0</v>
      </c>
      <c r="E20" s="36" t="n">
        <f aca="false">SUMIFS('Registo Diário'!$R$3:$R$403,'Registo Diário'!$E$3:$E$403,$A20)</f>
        <v>0</v>
      </c>
      <c r="F20" s="37" t="str">
        <f aca="false">IF($C20=0,"",$E20/$C20)</f>
        <v/>
      </c>
      <c r="G20" s="36" t="str">
        <f aca="false">IF($I20=0,"",$E20/$I20)</f>
        <v/>
      </c>
      <c r="H20" s="35" t="str">
        <f aca="false">IF($C20=0,"",SUMIFS('Registo Diário'!$I$3:$I$403,'Registo Diário'!$E$3:$E$403,$A20)/$C20)</f>
        <v/>
      </c>
      <c r="I20" s="34" t="n">
        <f aca="false">SUMIFS('Registo Diário'!$M$3:$M$403,'Registo Diário'!$E$3:$E$403,$A20)</f>
        <v>0</v>
      </c>
    </row>
    <row r="21" customFormat="false" ht="15" hidden="false" customHeight="false" outlineLevel="0" collapsed="false">
      <c r="A21" s="38" t="s">
        <v>103</v>
      </c>
      <c r="B21" s="39" t="n">
        <f aca="false">SUM(B5:B20)</f>
        <v>1</v>
      </c>
      <c r="C21" s="40" t="n">
        <f aca="false">SUM(C5:C20)</f>
        <v>6.5</v>
      </c>
      <c r="D21" s="41" t="n">
        <f aca="false">SUM(D5:D20)</f>
        <v>168.4</v>
      </c>
      <c r="E21" s="41" t="n">
        <f aca="false">SUM(E5:E20)</f>
        <v>112.14</v>
      </c>
      <c r="F21" s="41" t="n">
        <f aca="false">IF($C21=0,"",$E21/$C21)</f>
        <v>17.2523076923077</v>
      </c>
      <c r="G21" s="41" t="n">
        <f aca="false">IF($I21=0,"",$E21/$I21)</f>
        <v>0.919180327868853</v>
      </c>
      <c r="H21" s="40" t="n">
        <f aca="false">IF($C21=0,"",SUMPRODUCT($H5:$H20,$C5:$C20)/$C21)</f>
        <v>2.15384615384615</v>
      </c>
      <c r="I21" s="39" t="n">
        <f aca="false">SUM(I5:I20)</f>
        <v>122</v>
      </c>
    </row>
  </sheetData>
  <conditionalFormatting sqref="F5:F2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31" t="s">
        <v>118</v>
      </c>
    </row>
    <row r="2" customFormat="false" ht="15" hidden="false" customHeight="false" outlineLevel="0" collapsed="false">
      <c r="A2" s="32" t="s">
        <v>119</v>
      </c>
    </row>
    <row r="4" customFormat="false" ht="25.5" hidden="false" customHeight="true" outlineLevel="0" collapsed="false">
      <c r="A4" s="9"/>
      <c r="B4" s="9" t="s">
        <v>92</v>
      </c>
      <c r="C4" s="9" t="s">
        <v>93</v>
      </c>
      <c r="D4" s="9" t="s">
        <v>74</v>
      </c>
      <c r="E4" s="9" t="s">
        <v>94</v>
      </c>
      <c r="F4" s="9" t="s">
        <v>95</v>
      </c>
      <c r="G4" s="9" t="s">
        <v>84</v>
      </c>
      <c r="H4" s="9" t="s">
        <v>85</v>
      </c>
      <c r="I4" s="9" t="s">
        <v>77</v>
      </c>
    </row>
    <row r="5" customFormat="false" ht="15" hidden="false" customHeight="false" outlineLevel="0" collapsed="false">
      <c r="A5" s="33" t="s">
        <v>120</v>
      </c>
      <c r="B5" s="34" t="n">
        <f aca="false">COUNTIFS('Registo Diário'!$B$3:$B$403,$A5)</f>
        <v>0</v>
      </c>
      <c r="C5" s="35" t="n">
        <f aca="false">SUMIFS('Registo Diário'!$H$3:$H$403,'Registo Diário'!$B$3:$B$403,$A5)</f>
        <v>0</v>
      </c>
      <c r="D5" s="36" t="n">
        <f aca="false">SUMIFS('Registo Diário'!$J$3:$J$403,'Registo Diário'!$B$3:$B$403,$A5)</f>
        <v>0</v>
      </c>
      <c r="E5" s="36" t="n">
        <f aca="false">SUMIFS('Registo Diário'!$R$3:$R$403,'Registo Diário'!$B$3:$B$403,$A5)</f>
        <v>0</v>
      </c>
      <c r="F5" s="37" t="str">
        <f aca="false">IF($C5=0,"",$E5/$C5)</f>
        <v/>
      </c>
      <c r="G5" s="36" t="str">
        <f aca="false">IF($I5=0,"",$E5/$I5)</f>
        <v/>
      </c>
      <c r="H5" s="35" t="str">
        <f aca="false">IF($C5=0,"",SUMIFS('Registo Diário'!$I$3:$I$403,'Registo Diário'!$B$3:$B$403,$A5)/$C5)</f>
        <v/>
      </c>
      <c r="I5" s="34" t="n">
        <f aca="false">SUMIFS('Registo Diário'!$M$3:$M$403,'Registo Diário'!$B$3:$B$403,$A5)</f>
        <v>0</v>
      </c>
    </row>
    <row r="6" customFormat="false" ht="15" hidden="false" customHeight="false" outlineLevel="0" collapsed="false">
      <c r="A6" s="33" t="s">
        <v>121</v>
      </c>
      <c r="B6" s="34" t="n">
        <f aca="false">COUNTIFS('Registo Diário'!$B$3:$B$403,$A6)</f>
        <v>0</v>
      </c>
      <c r="C6" s="35" t="n">
        <f aca="false">SUMIFS('Registo Diário'!$H$3:$H$403,'Registo Diário'!$B$3:$B$403,$A6)</f>
        <v>0</v>
      </c>
      <c r="D6" s="36" t="n">
        <f aca="false">SUMIFS('Registo Diário'!$J$3:$J$403,'Registo Diário'!$B$3:$B$403,$A6)</f>
        <v>0</v>
      </c>
      <c r="E6" s="36" t="n">
        <f aca="false">SUMIFS('Registo Diário'!$R$3:$R$403,'Registo Diário'!$B$3:$B$403,$A6)</f>
        <v>0</v>
      </c>
      <c r="F6" s="37" t="str">
        <f aca="false">IF($C6=0,"",$E6/$C6)</f>
        <v/>
      </c>
      <c r="G6" s="36" t="str">
        <f aca="false">IF($I6=0,"",$E6/$I6)</f>
        <v/>
      </c>
      <c r="H6" s="35" t="str">
        <f aca="false">IF($C6=0,"",SUMIFS('Registo Diário'!$I$3:$I$403,'Registo Diário'!$B$3:$B$403,$A6)/$C6)</f>
        <v/>
      </c>
      <c r="I6" s="34" t="n">
        <f aca="false">SUMIFS('Registo Diário'!$M$3:$M$403,'Registo Diário'!$B$3:$B$403,$A6)</f>
        <v>0</v>
      </c>
    </row>
    <row r="7" customFormat="false" ht="15" hidden="false" customHeight="false" outlineLevel="0" collapsed="false">
      <c r="A7" s="33" t="s">
        <v>122</v>
      </c>
      <c r="B7" s="34" t="n">
        <f aca="false">COUNTIFS('Registo Diário'!$B$3:$B$403,$A7)</f>
        <v>0</v>
      </c>
      <c r="C7" s="35" t="n">
        <f aca="false">SUMIFS('Registo Diário'!$H$3:$H$403,'Registo Diário'!$B$3:$B$403,$A7)</f>
        <v>0</v>
      </c>
      <c r="D7" s="36" t="n">
        <f aca="false">SUMIFS('Registo Diário'!$J$3:$J$403,'Registo Diário'!$B$3:$B$403,$A7)</f>
        <v>0</v>
      </c>
      <c r="E7" s="36" t="n">
        <f aca="false">SUMIFS('Registo Diário'!$R$3:$R$403,'Registo Diário'!$B$3:$B$403,$A7)</f>
        <v>0</v>
      </c>
      <c r="F7" s="37" t="str">
        <f aca="false">IF($C7=0,"",$E7/$C7)</f>
        <v/>
      </c>
      <c r="G7" s="36" t="str">
        <f aca="false">IF($I7=0,"",$E7/$I7)</f>
        <v/>
      </c>
      <c r="H7" s="35" t="str">
        <f aca="false">IF($C7=0,"",SUMIFS('Registo Diário'!$I$3:$I$403,'Registo Diário'!$B$3:$B$403,$A7)/$C7)</f>
        <v/>
      </c>
      <c r="I7" s="34" t="n">
        <f aca="false">SUMIFS('Registo Diário'!$M$3:$M$403,'Registo Diário'!$B$3:$B$403,$A7)</f>
        <v>0</v>
      </c>
    </row>
    <row r="8" customFormat="false" ht="15" hidden="false" customHeight="false" outlineLevel="0" collapsed="false">
      <c r="A8" s="33" t="s">
        <v>123</v>
      </c>
      <c r="B8" s="34" t="n">
        <f aca="false">COUNTIFS('Registo Diário'!$B$3:$B$403,$A8)</f>
        <v>0</v>
      </c>
      <c r="C8" s="35" t="n">
        <f aca="false">SUMIFS('Registo Diário'!$H$3:$H$403,'Registo Diário'!$B$3:$B$403,$A8)</f>
        <v>0</v>
      </c>
      <c r="D8" s="36" t="n">
        <f aca="false">SUMIFS('Registo Diário'!$J$3:$J$403,'Registo Diário'!$B$3:$B$403,$A8)</f>
        <v>0</v>
      </c>
      <c r="E8" s="36" t="n">
        <f aca="false">SUMIFS('Registo Diário'!$R$3:$R$403,'Registo Diário'!$B$3:$B$403,$A8)</f>
        <v>0</v>
      </c>
      <c r="F8" s="37" t="str">
        <f aca="false">IF($C8=0,"",$E8/$C8)</f>
        <v/>
      </c>
      <c r="G8" s="36" t="str">
        <f aca="false">IF($I8=0,"",$E8/$I8)</f>
        <v/>
      </c>
      <c r="H8" s="35" t="str">
        <f aca="false">IF($C8=0,"",SUMIFS('Registo Diário'!$I$3:$I$403,'Registo Diário'!$B$3:$B$403,$A8)/$C8)</f>
        <v/>
      </c>
      <c r="I8" s="34" t="n">
        <f aca="false">SUMIFS('Registo Diário'!$M$3:$M$403,'Registo Diário'!$B$3:$B$403,$A8)</f>
        <v>0</v>
      </c>
    </row>
    <row r="9" customFormat="false" ht="15" hidden="false" customHeight="false" outlineLevel="0" collapsed="false">
      <c r="A9" s="33" t="s">
        <v>124</v>
      </c>
      <c r="B9" s="34" t="n">
        <f aca="false">COUNTIFS('Registo Diário'!$B$3:$B$403,$A9)</f>
        <v>0</v>
      </c>
      <c r="C9" s="35" t="n">
        <f aca="false">SUMIFS('Registo Diário'!$H$3:$H$403,'Registo Diário'!$B$3:$B$403,$A9)</f>
        <v>0</v>
      </c>
      <c r="D9" s="36" t="n">
        <f aca="false">SUMIFS('Registo Diário'!$J$3:$J$403,'Registo Diário'!$B$3:$B$403,$A9)</f>
        <v>0</v>
      </c>
      <c r="E9" s="36" t="n">
        <f aca="false">SUMIFS('Registo Diário'!$R$3:$R$403,'Registo Diário'!$B$3:$B$403,$A9)</f>
        <v>0</v>
      </c>
      <c r="F9" s="37" t="str">
        <f aca="false">IF($C9=0,"",$E9/$C9)</f>
        <v/>
      </c>
      <c r="G9" s="36" t="str">
        <f aca="false">IF($I9=0,"",$E9/$I9)</f>
        <v/>
      </c>
      <c r="H9" s="35" t="str">
        <f aca="false">IF($C9=0,"",SUMIFS('Registo Diário'!$I$3:$I$403,'Registo Diário'!$B$3:$B$403,$A9)/$C9)</f>
        <v/>
      </c>
      <c r="I9" s="34" t="n">
        <f aca="false">SUMIFS('Registo Diário'!$M$3:$M$403,'Registo Diário'!$B$3:$B$403,$A9)</f>
        <v>0</v>
      </c>
    </row>
    <row r="10" customFormat="false" ht="15" hidden="false" customHeight="false" outlineLevel="0" collapsed="false">
      <c r="A10" s="33" t="s">
        <v>125</v>
      </c>
      <c r="B10" s="34" t="n">
        <f aca="false">COUNTIFS('Registo Diário'!$B$3:$B$403,$A10)</f>
        <v>1</v>
      </c>
      <c r="C10" s="35" t="n">
        <f aca="false">SUMIFS('Registo Diário'!$H$3:$H$403,'Registo Diário'!$B$3:$B$403,$A10)</f>
        <v>6.5</v>
      </c>
      <c r="D10" s="36" t="n">
        <f aca="false">SUMIFS('Registo Diário'!$J$3:$J$403,'Registo Diário'!$B$3:$B$403,$A10)</f>
        <v>168.4</v>
      </c>
      <c r="E10" s="36" t="n">
        <f aca="false">SUMIFS('Registo Diário'!$R$3:$R$403,'Registo Diário'!$B$3:$B$403,$A10)</f>
        <v>112.14</v>
      </c>
      <c r="F10" s="37" t="n">
        <f aca="false">IF($C10=0,"",$E10/$C10)</f>
        <v>17.2523076923077</v>
      </c>
      <c r="G10" s="36" t="n">
        <f aca="false">IF($I10=0,"",$E10/$I10)</f>
        <v>0.919180327868853</v>
      </c>
      <c r="H10" s="35" t="n">
        <f aca="false">IF($C10=0,"",SUMIFS('Registo Diário'!$I$3:$I$403,'Registo Diário'!$B$3:$B$403,$A10)/$C10)</f>
        <v>2.15384615384615</v>
      </c>
      <c r="I10" s="34" t="n">
        <f aca="false">SUMIFS('Registo Diário'!$M$3:$M$403,'Registo Diário'!$B$3:$B$403,$A10)</f>
        <v>122</v>
      </c>
    </row>
    <row r="11" customFormat="false" ht="15" hidden="false" customHeight="false" outlineLevel="0" collapsed="false">
      <c r="A11" s="33" t="s">
        <v>126</v>
      </c>
      <c r="B11" s="34" t="n">
        <f aca="false">COUNTIFS('Registo Diário'!$B$3:$B$403,$A11)</f>
        <v>0</v>
      </c>
      <c r="C11" s="35" t="n">
        <f aca="false">SUMIFS('Registo Diário'!$H$3:$H$403,'Registo Diário'!$B$3:$B$403,$A11)</f>
        <v>0</v>
      </c>
      <c r="D11" s="36" t="n">
        <f aca="false">SUMIFS('Registo Diário'!$J$3:$J$403,'Registo Diário'!$B$3:$B$403,$A11)</f>
        <v>0</v>
      </c>
      <c r="E11" s="36" t="n">
        <f aca="false">SUMIFS('Registo Diário'!$R$3:$R$403,'Registo Diário'!$B$3:$B$403,$A11)</f>
        <v>0</v>
      </c>
      <c r="F11" s="37" t="str">
        <f aca="false">IF($C11=0,"",$E11/$C11)</f>
        <v/>
      </c>
      <c r="G11" s="36" t="str">
        <f aca="false">IF($I11=0,"",$E11/$I11)</f>
        <v/>
      </c>
      <c r="H11" s="35" t="str">
        <f aca="false">IF($C11=0,"",SUMIFS('Registo Diário'!$I$3:$I$403,'Registo Diário'!$B$3:$B$403,$A11)/$C11)</f>
        <v/>
      </c>
      <c r="I11" s="34" t="n">
        <f aca="false">SUMIFS('Registo Diário'!$M$3:$M$403,'Registo Diário'!$B$3:$B$403,$A11)</f>
        <v>0</v>
      </c>
    </row>
    <row r="12" customFormat="false" ht="15" hidden="false" customHeight="false" outlineLevel="0" collapsed="false">
      <c r="A12" s="38" t="s">
        <v>103</v>
      </c>
      <c r="B12" s="39" t="n">
        <f aca="false">SUM(B5:B11)</f>
        <v>1</v>
      </c>
      <c r="C12" s="40" t="n">
        <f aca="false">SUM(C5:C11)</f>
        <v>6.5</v>
      </c>
      <c r="D12" s="41" t="n">
        <f aca="false">SUM(D5:D11)</f>
        <v>168.4</v>
      </c>
      <c r="E12" s="41" t="n">
        <f aca="false">SUM(E5:E11)</f>
        <v>112.14</v>
      </c>
      <c r="F12" s="41" t="n">
        <f aca="false">IF($C12=0,"",$E12/$C12)</f>
        <v>17.2523076923077</v>
      </c>
      <c r="G12" s="41" t="n">
        <f aca="false">IF($I12=0,"",$E12/$I12)</f>
        <v>0.919180327868853</v>
      </c>
      <c r="H12" s="40" t="n">
        <f aca="false">IF($C12=0,"",SUMPRODUCT($H5:$H11,$C5:$C11)/$C12)</f>
        <v>2.15384615384615</v>
      </c>
      <c r="I12" s="39" t="n">
        <f aca="false">SUM(I5:I11)</f>
        <v>122</v>
      </c>
    </row>
  </sheetData>
  <conditionalFormatting sqref="F5:F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2" min="11" style="0" width="15"/>
  </cols>
  <sheetData>
    <row r="1" customFormat="false" ht="17.35" hidden="false" customHeight="false" outlineLevel="0" collapsed="false">
      <c r="A1" s="31" t="s">
        <v>127</v>
      </c>
    </row>
    <row r="2" customFormat="false" ht="27.75" hidden="false" customHeight="true" outlineLevel="0" collapsed="false">
      <c r="A2" s="42" t="s">
        <v>128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customFormat="false" ht="33.75" hidden="false" customHeight="true" outlineLevel="0" collapsed="false">
      <c r="A4" s="9" t="s">
        <v>67</v>
      </c>
      <c r="B4" s="9" t="s">
        <v>92</v>
      </c>
      <c r="C4" s="9" t="s">
        <v>93</v>
      </c>
      <c r="D4" s="9" t="s">
        <v>74</v>
      </c>
      <c r="E4" s="9" t="s">
        <v>129</v>
      </c>
      <c r="F4" s="9" t="s">
        <v>130</v>
      </c>
      <c r="G4" s="9" t="s">
        <v>131</v>
      </c>
      <c r="H4" s="9" t="s">
        <v>132</v>
      </c>
      <c r="I4" s="9" t="s">
        <v>77</v>
      </c>
      <c r="J4" s="9" t="s">
        <v>133</v>
      </c>
      <c r="K4" s="9" t="s">
        <v>134</v>
      </c>
      <c r="L4" s="9" t="s">
        <v>135</v>
      </c>
    </row>
    <row r="5" customFormat="false" ht="15" hidden="false" customHeight="false" outlineLevel="0" collapsed="false">
      <c r="A5" s="43" t="n">
        <f aca="false">EOMONTH(Config!$B$22,0)</f>
        <v>46295</v>
      </c>
      <c r="B5" s="34" t="n">
        <f aca="false">COUNTIFS('Registo Diário'!$C$3:$C$403,$A5)</f>
        <v>1</v>
      </c>
      <c r="C5" s="35" t="n">
        <f aca="false">SUMIFS('Registo Diário'!$H$3:$H$403,'Registo Diário'!$C$3:$C$403,$A5)</f>
        <v>6.5</v>
      </c>
      <c r="D5" s="36" t="n">
        <f aca="false">SUMIFS('Registo Diário'!$J$3:$J$403,'Registo Diário'!$C$3:$C$403,$A5)</f>
        <v>168.4</v>
      </c>
      <c r="E5" s="36" t="n">
        <f aca="false">SUMIFS('Registo Diário'!$R$3:$R$403,'Registo Diário'!$C$3:$C$403,$A5)</f>
        <v>112.14</v>
      </c>
      <c r="F5" s="44" t="n">
        <f aca="false">IF($B5=0,0,Config!$B$16)</f>
        <v>470.833333333333</v>
      </c>
      <c r="G5" s="37" t="n">
        <f aca="false">$E5-$F5</f>
        <v>-358.693333333333</v>
      </c>
      <c r="H5" s="37" t="n">
        <f aca="false">IF($C5=0,"",$G5/$C5)</f>
        <v>-55.1835897435897</v>
      </c>
      <c r="I5" s="34" t="n">
        <f aca="false">SUMIFS('Registo Diário'!$M$3:$M$403,'Registo Diário'!$C$3:$C$403,$A5)</f>
        <v>122</v>
      </c>
      <c r="J5" s="34" t="n">
        <f aca="false">SUMIFS('Registo Diário'!$I$3:$I$403,'Registo Diário'!$C$3:$C$403,$A5)</f>
        <v>14</v>
      </c>
      <c r="K5" s="36" t="n">
        <f aca="false">SUMIFS('Registo Diário'!$N$3:$N$403,'Registo Diário'!$C$3:$C$403,$A5)</f>
        <v>11.8</v>
      </c>
      <c r="L5" s="36" t="n">
        <f aca="false">IF($I5=0,"",$K5/$I5*100)</f>
        <v>9.67213114754098</v>
      </c>
    </row>
    <row r="6" customFormat="false" ht="15" hidden="false" customHeight="false" outlineLevel="0" collapsed="false">
      <c r="A6" s="43" t="n">
        <f aca="false">EOMONTH(A5,1)</f>
        <v>46326</v>
      </c>
      <c r="B6" s="34" t="n">
        <f aca="false">COUNTIFS('Registo Diário'!$C$3:$C$403,$A6)</f>
        <v>0</v>
      </c>
      <c r="C6" s="35" t="n">
        <f aca="false">SUMIFS('Registo Diário'!$H$3:$H$403,'Registo Diário'!$C$3:$C$403,$A6)</f>
        <v>0</v>
      </c>
      <c r="D6" s="36" t="n">
        <f aca="false">SUMIFS('Registo Diário'!$J$3:$J$403,'Registo Diário'!$C$3:$C$403,$A6)</f>
        <v>0</v>
      </c>
      <c r="E6" s="36" t="n">
        <f aca="false">SUMIFS('Registo Diário'!$R$3:$R$403,'Registo Diário'!$C$3:$C$403,$A6)</f>
        <v>0</v>
      </c>
      <c r="F6" s="44" t="n">
        <f aca="false">IF($B6=0,0,Config!$B$16)</f>
        <v>0</v>
      </c>
      <c r="G6" s="37" t="n">
        <f aca="false">$E6-$F6</f>
        <v>0</v>
      </c>
      <c r="H6" s="37" t="str">
        <f aca="false">IF($C6=0,"",$G6/$C6)</f>
        <v/>
      </c>
      <c r="I6" s="34" t="n">
        <f aca="false">SUMIFS('Registo Diário'!$M$3:$M$403,'Registo Diário'!$C$3:$C$403,$A6)</f>
        <v>0</v>
      </c>
      <c r="J6" s="34" t="n">
        <f aca="false">SUMIFS('Registo Diário'!$I$3:$I$403,'Registo Diário'!$C$3:$C$403,$A6)</f>
        <v>0</v>
      </c>
      <c r="K6" s="36" t="n">
        <f aca="false">SUMIFS('Registo Diário'!$N$3:$N$403,'Registo Diário'!$C$3:$C$403,$A6)</f>
        <v>0</v>
      </c>
      <c r="L6" s="36" t="str">
        <f aca="false">IF($I6=0,"",$K6/$I6*100)</f>
        <v/>
      </c>
    </row>
    <row r="7" customFormat="false" ht="15" hidden="false" customHeight="false" outlineLevel="0" collapsed="false">
      <c r="A7" s="43" t="n">
        <f aca="false">EOMONTH(A6,1)</f>
        <v>46356</v>
      </c>
      <c r="B7" s="34" t="n">
        <f aca="false">COUNTIFS('Registo Diário'!$C$3:$C$403,$A7)</f>
        <v>0</v>
      </c>
      <c r="C7" s="35" t="n">
        <f aca="false">SUMIFS('Registo Diário'!$H$3:$H$403,'Registo Diário'!$C$3:$C$403,$A7)</f>
        <v>0</v>
      </c>
      <c r="D7" s="36" t="n">
        <f aca="false">SUMIFS('Registo Diário'!$J$3:$J$403,'Registo Diário'!$C$3:$C$403,$A7)</f>
        <v>0</v>
      </c>
      <c r="E7" s="36" t="n">
        <f aca="false">SUMIFS('Registo Diário'!$R$3:$R$403,'Registo Diário'!$C$3:$C$403,$A7)</f>
        <v>0</v>
      </c>
      <c r="F7" s="44" t="n">
        <f aca="false">IF($B7=0,0,Config!$B$16)</f>
        <v>0</v>
      </c>
      <c r="G7" s="37" t="n">
        <f aca="false">$E7-$F7</f>
        <v>0</v>
      </c>
      <c r="H7" s="37" t="str">
        <f aca="false">IF($C7=0,"",$G7/$C7)</f>
        <v/>
      </c>
      <c r="I7" s="34" t="n">
        <f aca="false">SUMIFS('Registo Diário'!$M$3:$M$403,'Registo Diário'!$C$3:$C$403,$A7)</f>
        <v>0</v>
      </c>
      <c r="J7" s="34" t="n">
        <f aca="false">SUMIFS('Registo Diário'!$I$3:$I$403,'Registo Diário'!$C$3:$C$403,$A7)</f>
        <v>0</v>
      </c>
      <c r="K7" s="36" t="n">
        <f aca="false">SUMIFS('Registo Diário'!$N$3:$N$403,'Registo Diário'!$C$3:$C$403,$A7)</f>
        <v>0</v>
      </c>
      <c r="L7" s="36" t="str">
        <f aca="false">IF($I7=0,"",$K7/$I7*100)</f>
        <v/>
      </c>
    </row>
    <row r="8" customFormat="false" ht="15" hidden="false" customHeight="false" outlineLevel="0" collapsed="false">
      <c r="A8" s="43" t="n">
        <f aca="false">EOMONTH(A7,1)</f>
        <v>46387</v>
      </c>
      <c r="B8" s="34" t="n">
        <f aca="false">COUNTIFS('Registo Diário'!$C$3:$C$403,$A8)</f>
        <v>0</v>
      </c>
      <c r="C8" s="35" t="n">
        <f aca="false">SUMIFS('Registo Diário'!$H$3:$H$403,'Registo Diário'!$C$3:$C$403,$A8)</f>
        <v>0</v>
      </c>
      <c r="D8" s="36" t="n">
        <f aca="false">SUMIFS('Registo Diário'!$J$3:$J$403,'Registo Diário'!$C$3:$C$403,$A8)</f>
        <v>0</v>
      </c>
      <c r="E8" s="36" t="n">
        <f aca="false">SUMIFS('Registo Diário'!$R$3:$R$403,'Registo Diário'!$C$3:$C$403,$A8)</f>
        <v>0</v>
      </c>
      <c r="F8" s="44" t="n">
        <f aca="false">IF($B8=0,0,Config!$B$16)</f>
        <v>0</v>
      </c>
      <c r="G8" s="37" t="n">
        <f aca="false">$E8-$F8</f>
        <v>0</v>
      </c>
      <c r="H8" s="37" t="str">
        <f aca="false">IF($C8=0,"",$G8/$C8)</f>
        <v/>
      </c>
      <c r="I8" s="34" t="n">
        <f aca="false">SUMIFS('Registo Diário'!$M$3:$M$403,'Registo Diário'!$C$3:$C$403,$A8)</f>
        <v>0</v>
      </c>
      <c r="J8" s="34" t="n">
        <f aca="false">SUMIFS('Registo Diário'!$I$3:$I$403,'Registo Diário'!$C$3:$C$403,$A8)</f>
        <v>0</v>
      </c>
      <c r="K8" s="36" t="n">
        <f aca="false">SUMIFS('Registo Diário'!$N$3:$N$403,'Registo Diário'!$C$3:$C$403,$A8)</f>
        <v>0</v>
      </c>
      <c r="L8" s="36" t="str">
        <f aca="false">IF($I8=0,"",$K8/$I8*100)</f>
        <v/>
      </c>
    </row>
    <row r="9" customFormat="false" ht="15" hidden="false" customHeight="false" outlineLevel="0" collapsed="false">
      <c r="A9" s="43" t="n">
        <f aca="false">EOMONTH(A8,1)</f>
        <v>46418</v>
      </c>
      <c r="B9" s="34" t="n">
        <f aca="false">COUNTIFS('Registo Diário'!$C$3:$C$403,$A9)</f>
        <v>0</v>
      </c>
      <c r="C9" s="35" t="n">
        <f aca="false">SUMIFS('Registo Diário'!$H$3:$H$403,'Registo Diário'!$C$3:$C$403,$A9)</f>
        <v>0</v>
      </c>
      <c r="D9" s="36" t="n">
        <f aca="false">SUMIFS('Registo Diário'!$J$3:$J$403,'Registo Diário'!$C$3:$C$403,$A9)</f>
        <v>0</v>
      </c>
      <c r="E9" s="36" t="n">
        <f aca="false">SUMIFS('Registo Diário'!$R$3:$R$403,'Registo Diário'!$C$3:$C$403,$A9)</f>
        <v>0</v>
      </c>
      <c r="F9" s="44" t="n">
        <f aca="false">IF($B9=0,0,Config!$B$16)</f>
        <v>0</v>
      </c>
      <c r="G9" s="37" t="n">
        <f aca="false">$E9-$F9</f>
        <v>0</v>
      </c>
      <c r="H9" s="37" t="str">
        <f aca="false">IF($C9=0,"",$G9/$C9)</f>
        <v/>
      </c>
      <c r="I9" s="34" t="n">
        <f aca="false">SUMIFS('Registo Diário'!$M$3:$M$403,'Registo Diário'!$C$3:$C$403,$A9)</f>
        <v>0</v>
      </c>
      <c r="J9" s="34" t="n">
        <f aca="false">SUMIFS('Registo Diário'!$I$3:$I$403,'Registo Diário'!$C$3:$C$403,$A9)</f>
        <v>0</v>
      </c>
      <c r="K9" s="36" t="n">
        <f aca="false">SUMIFS('Registo Diário'!$N$3:$N$403,'Registo Diário'!$C$3:$C$403,$A9)</f>
        <v>0</v>
      </c>
      <c r="L9" s="36" t="str">
        <f aca="false">IF($I9=0,"",$K9/$I9*100)</f>
        <v/>
      </c>
    </row>
    <row r="10" customFormat="false" ht="15" hidden="false" customHeight="false" outlineLevel="0" collapsed="false">
      <c r="A10" s="43" t="n">
        <f aca="false">EOMONTH(A9,1)</f>
        <v>46446</v>
      </c>
      <c r="B10" s="34" t="n">
        <f aca="false">COUNTIFS('Registo Diário'!$C$3:$C$403,$A10)</f>
        <v>0</v>
      </c>
      <c r="C10" s="35" t="n">
        <f aca="false">SUMIFS('Registo Diário'!$H$3:$H$403,'Registo Diário'!$C$3:$C$403,$A10)</f>
        <v>0</v>
      </c>
      <c r="D10" s="36" t="n">
        <f aca="false">SUMIFS('Registo Diário'!$J$3:$J$403,'Registo Diário'!$C$3:$C$403,$A10)</f>
        <v>0</v>
      </c>
      <c r="E10" s="36" t="n">
        <f aca="false">SUMIFS('Registo Diário'!$R$3:$R$403,'Registo Diário'!$C$3:$C$403,$A10)</f>
        <v>0</v>
      </c>
      <c r="F10" s="44" t="n">
        <f aca="false">IF($B10=0,0,Config!$B$16)</f>
        <v>0</v>
      </c>
      <c r="G10" s="37" t="n">
        <f aca="false">$E10-$F10</f>
        <v>0</v>
      </c>
      <c r="H10" s="37" t="str">
        <f aca="false">IF($C10=0,"",$G10/$C10)</f>
        <v/>
      </c>
      <c r="I10" s="34" t="n">
        <f aca="false">SUMIFS('Registo Diário'!$M$3:$M$403,'Registo Diário'!$C$3:$C$403,$A10)</f>
        <v>0</v>
      </c>
      <c r="J10" s="34" t="n">
        <f aca="false">SUMIFS('Registo Diário'!$I$3:$I$403,'Registo Diário'!$C$3:$C$403,$A10)</f>
        <v>0</v>
      </c>
      <c r="K10" s="36" t="n">
        <f aca="false">SUMIFS('Registo Diário'!$N$3:$N$403,'Registo Diário'!$C$3:$C$403,$A10)</f>
        <v>0</v>
      </c>
      <c r="L10" s="36" t="str">
        <f aca="false">IF($I10=0,"",$K10/$I10*100)</f>
        <v/>
      </c>
    </row>
    <row r="11" customFormat="false" ht="15" hidden="false" customHeight="false" outlineLevel="0" collapsed="false">
      <c r="A11" s="43" t="n">
        <f aca="false">EOMONTH(A10,1)</f>
        <v>46477</v>
      </c>
      <c r="B11" s="34" t="n">
        <f aca="false">COUNTIFS('Registo Diário'!$C$3:$C$403,$A11)</f>
        <v>0</v>
      </c>
      <c r="C11" s="35" t="n">
        <f aca="false">SUMIFS('Registo Diário'!$H$3:$H$403,'Registo Diário'!$C$3:$C$403,$A11)</f>
        <v>0</v>
      </c>
      <c r="D11" s="36" t="n">
        <f aca="false">SUMIFS('Registo Diário'!$J$3:$J$403,'Registo Diário'!$C$3:$C$403,$A11)</f>
        <v>0</v>
      </c>
      <c r="E11" s="36" t="n">
        <f aca="false">SUMIFS('Registo Diário'!$R$3:$R$403,'Registo Diário'!$C$3:$C$403,$A11)</f>
        <v>0</v>
      </c>
      <c r="F11" s="44" t="n">
        <f aca="false">IF($B11=0,0,Config!$B$16)</f>
        <v>0</v>
      </c>
      <c r="G11" s="37" t="n">
        <f aca="false">$E11-$F11</f>
        <v>0</v>
      </c>
      <c r="H11" s="37" t="str">
        <f aca="false">IF($C11=0,"",$G11/$C11)</f>
        <v/>
      </c>
      <c r="I11" s="34" t="n">
        <f aca="false">SUMIFS('Registo Diário'!$M$3:$M$403,'Registo Diário'!$C$3:$C$403,$A11)</f>
        <v>0</v>
      </c>
      <c r="J11" s="34" t="n">
        <f aca="false">SUMIFS('Registo Diário'!$I$3:$I$403,'Registo Diário'!$C$3:$C$403,$A11)</f>
        <v>0</v>
      </c>
      <c r="K11" s="36" t="n">
        <f aca="false">SUMIFS('Registo Diário'!$N$3:$N$403,'Registo Diário'!$C$3:$C$403,$A11)</f>
        <v>0</v>
      </c>
      <c r="L11" s="36" t="str">
        <f aca="false">IF($I11=0,"",$K11/$I11*100)</f>
        <v/>
      </c>
    </row>
    <row r="12" customFormat="false" ht="15" hidden="false" customHeight="false" outlineLevel="0" collapsed="false">
      <c r="A12" s="43" t="n">
        <f aca="false">EOMONTH(A11,1)</f>
        <v>46507</v>
      </c>
      <c r="B12" s="34" t="n">
        <f aca="false">COUNTIFS('Registo Diário'!$C$3:$C$403,$A12)</f>
        <v>0</v>
      </c>
      <c r="C12" s="35" t="n">
        <f aca="false">SUMIFS('Registo Diário'!$H$3:$H$403,'Registo Diário'!$C$3:$C$403,$A12)</f>
        <v>0</v>
      </c>
      <c r="D12" s="36" t="n">
        <f aca="false">SUMIFS('Registo Diário'!$J$3:$J$403,'Registo Diário'!$C$3:$C$403,$A12)</f>
        <v>0</v>
      </c>
      <c r="E12" s="36" t="n">
        <f aca="false">SUMIFS('Registo Diário'!$R$3:$R$403,'Registo Diário'!$C$3:$C$403,$A12)</f>
        <v>0</v>
      </c>
      <c r="F12" s="44" t="n">
        <f aca="false">IF($B12=0,0,Config!$B$16)</f>
        <v>0</v>
      </c>
      <c r="G12" s="37" t="n">
        <f aca="false">$E12-$F12</f>
        <v>0</v>
      </c>
      <c r="H12" s="37" t="str">
        <f aca="false">IF($C12=0,"",$G12/$C12)</f>
        <v/>
      </c>
      <c r="I12" s="34" t="n">
        <f aca="false">SUMIFS('Registo Diário'!$M$3:$M$403,'Registo Diário'!$C$3:$C$403,$A12)</f>
        <v>0</v>
      </c>
      <c r="J12" s="34" t="n">
        <f aca="false">SUMIFS('Registo Diário'!$I$3:$I$403,'Registo Diário'!$C$3:$C$403,$A12)</f>
        <v>0</v>
      </c>
      <c r="K12" s="36" t="n">
        <f aca="false">SUMIFS('Registo Diário'!$N$3:$N$403,'Registo Diário'!$C$3:$C$403,$A12)</f>
        <v>0</v>
      </c>
      <c r="L12" s="36" t="str">
        <f aca="false">IF($I12=0,"",$K12/$I12*100)</f>
        <v/>
      </c>
    </row>
    <row r="13" customFormat="false" ht="15" hidden="false" customHeight="false" outlineLevel="0" collapsed="false">
      <c r="A13" s="43" t="n">
        <f aca="false">EOMONTH(A12,1)</f>
        <v>46538</v>
      </c>
      <c r="B13" s="34" t="n">
        <f aca="false">COUNTIFS('Registo Diário'!$C$3:$C$403,$A13)</f>
        <v>0</v>
      </c>
      <c r="C13" s="35" t="n">
        <f aca="false">SUMIFS('Registo Diário'!$H$3:$H$403,'Registo Diário'!$C$3:$C$403,$A13)</f>
        <v>0</v>
      </c>
      <c r="D13" s="36" t="n">
        <f aca="false">SUMIFS('Registo Diário'!$J$3:$J$403,'Registo Diário'!$C$3:$C$403,$A13)</f>
        <v>0</v>
      </c>
      <c r="E13" s="36" t="n">
        <f aca="false">SUMIFS('Registo Diário'!$R$3:$R$403,'Registo Diário'!$C$3:$C$403,$A13)</f>
        <v>0</v>
      </c>
      <c r="F13" s="44" t="n">
        <f aca="false">IF($B13=0,0,Config!$B$16)</f>
        <v>0</v>
      </c>
      <c r="G13" s="37" t="n">
        <f aca="false">$E13-$F13</f>
        <v>0</v>
      </c>
      <c r="H13" s="37" t="str">
        <f aca="false">IF($C13=0,"",$G13/$C13)</f>
        <v/>
      </c>
      <c r="I13" s="34" t="n">
        <f aca="false">SUMIFS('Registo Diário'!$M$3:$M$403,'Registo Diário'!$C$3:$C$403,$A13)</f>
        <v>0</v>
      </c>
      <c r="J13" s="34" t="n">
        <f aca="false">SUMIFS('Registo Diário'!$I$3:$I$403,'Registo Diário'!$C$3:$C$403,$A13)</f>
        <v>0</v>
      </c>
      <c r="K13" s="36" t="n">
        <f aca="false">SUMIFS('Registo Diário'!$N$3:$N$403,'Registo Diário'!$C$3:$C$403,$A13)</f>
        <v>0</v>
      </c>
      <c r="L13" s="36" t="str">
        <f aca="false">IF($I13=0,"",$K13/$I13*100)</f>
        <v/>
      </c>
    </row>
    <row r="14" customFormat="false" ht="15" hidden="false" customHeight="false" outlineLevel="0" collapsed="false">
      <c r="A14" s="43" t="n">
        <f aca="false">EOMONTH(A13,1)</f>
        <v>46568</v>
      </c>
      <c r="B14" s="34" t="n">
        <f aca="false">COUNTIFS('Registo Diário'!$C$3:$C$403,$A14)</f>
        <v>0</v>
      </c>
      <c r="C14" s="35" t="n">
        <f aca="false">SUMIFS('Registo Diário'!$H$3:$H$403,'Registo Diário'!$C$3:$C$403,$A14)</f>
        <v>0</v>
      </c>
      <c r="D14" s="36" t="n">
        <f aca="false">SUMIFS('Registo Diário'!$J$3:$J$403,'Registo Diário'!$C$3:$C$403,$A14)</f>
        <v>0</v>
      </c>
      <c r="E14" s="36" t="n">
        <f aca="false">SUMIFS('Registo Diário'!$R$3:$R$403,'Registo Diário'!$C$3:$C$403,$A14)</f>
        <v>0</v>
      </c>
      <c r="F14" s="44" t="n">
        <f aca="false">IF($B14=0,0,Config!$B$16)</f>
        <v>0</v>
      </c>
      <c r="G14" s="37" t="n">
        <f aca="false">$E14-$F14</f>
        <v>0</v>
      </c>
      <c r="H14" s="37" t="str">
        <f aca="false">IF($C14=0,"",$G14/$C14)</f>
        <v/>
      </c>
      <c r="I14" s="34" t="n">
        <f aca="false">SUMIFS('Registo Diário'!$M$3:$M$403,'Registo Diário'!$C$3:$C$403,$A14)</f>
        <v>0</v>
      </c>
      <c r="J14" s="34" t="n">
        <f aca="false">SUMIFS('Registo Diário'!$I$3:$I$403,'Registo Diário'!$C$3:$C$403,$A14)</f>
        <v>0</v>
      </c>
      <c r="K14" s="36" t="n">
        <f aca="false">SUMIFS('Registo Diário'!$N$3:$N$403,'Registo Diário'!$C$3:$C$403,$A14)</f>
        <v>0</v>
      </c>
      <c r="L14" s="36" t="str">
        <f aca="false">IF($I14=0,"",$K14/$I14*100)</f>
        <v/>
      </c>
    </row>
    <row r="15" customFormat="false" ht="15" hidden="false" customHeight="false" outlineLevel="0" collapsed="false">
      <c r="A15" s="43" t="n">
        <f aca="false">EOMONTH(A14,1)</f>
        <v>46599</v>
      </c>
      <c r="B15" s="34" t="n">
        <f aca="false">COUNTIFS('Registo Diário'!$C$3:$C$403,$A15)</f>
        <v>0</v>
      </c>
      <c r="C15" s="35" t="n">
        <f aca="false">SUMIFS('Registo Diário'!$H$3:$H$403,'Registo Diário'!$C$3:$C$403,$A15)</f>
        <v>0</v>
      </c>
      <c r="D15" s="36" t="n">
        <f aca="false">SUMIFS('Registo Diário'!$J$3:$J$403,'Registo Diário'!$C$3:$C$403,$A15)</f>
        <v>0</v>
      </c>
      <c r="E15" s="36" t="n">
        <f aca="false">SUMIFS('Registo Diário'!$R$3:$R$403,'Registo Diário'!$C$3:$C$403,$A15)</f>
        <v>0</v>
      </c>
      <c r="F15" s="44" t="n">
        <f aca="false">IF($B15=0,0,Config!$B$16)</f>
        <v>0</v>
      </c>
      <c r="G15" s="37" t="n">
        <f aca="false">$E15-$F15</f>
        <v>0</v>
      </c>
      <c r="H15" s="37" t="str">
        <f aca="false">IF($C15=0,"",$G15/$C15)</f>
        <v/>
      </c>
      <c r="I15" s="34" t="n">
        <f aca="false">SUMIFS('Registo Diário'!$M$3:$M$403,'Registo Diário'!$C$3:$C$403,$A15)</f>
        <v>0</v>
      </c>
      <c r="J15" s="34" t="n">
        <f aca="false">SUMIFS('Registo Diário'!$I$3:$I$403,'Registo Diário'!$C$3:$C$403,$A15)</f>
        <v>0</v>
      </c>
      <c r="K15" s="36" t="n">
        <f aca="false">SUMIFS('Registo Diário'!$N$3:$N$403,'Registo Diário'!$C$3:$C$403,$A15)</f>
        <v>0</v>
      </c>
      <c r="L15" s="36" t="str">
        <f aca="false">IF($I15=0,"",$K15/$I15*100)</f>
        <v/>
      </c>
    </row>
    <row r="16" customFormat="false" ht="15" hidden="false" customHeight="false" outlineLevel="0" collapsed="false">
      <c r="A16" s="43" t="n">
        <f aca="false">EOMONTH(A15,1)</f>
        <v>46630</v>
      </c>
      <c r="B16" s="34" t="n">
        <f aca="false">COUNTIFS('Registo Diário'!$C$3:$C$403,$A16)</f>
        <v>0</v>
      </c>
      <c r="C16" s="35" t="n">
        <f aca="false">SUMIFS('Registo Diário'!$H$3:$H$403,'Registo Diário'!$C$3:$C$403,$A16)</f>
        <v>0</v>
      </c>
      <c r="D16" s="36" t="n">
        <f aca="false">SUMIFS('Registo Diário'!$J$3:$J$403,'Registo Diário'!$C$3:$C$403,$A16)</f>
        <v>0</v>
      </c>
      <c r="E16" s="36" t="n">
        <f aca="false">SUMIFS('Registo Diário'!$R$3:$R$403,'Registo Diário'!$C$3:$C$403,$A16)</f>
        <v>0</v>
      </c>
      <c r="F16" s="44" t="n">
        <f aca="false">IF($B16=0,0,Config!$B$16)</f>
        <v>0</v>
      </c>
      <c r="G16" s="37" t="n">
        <f aca="false">$E16-$F16</f>
        <v>0</v>
      </c>
      <c r="H16" s="37" t="str">
        <f aca="false">IF($C16=0,"",$G16/$C16)</f>
        <v/>
      </c>
      <c r="I16" s="34" t="n">
        <f aca="false">SUMIFS('Registo Diário'!$M$3:$M$403,'Registo Diário'!$C$3:$C$403,$A16)</f>
        <v>0</v>
      </c>
      <c r="J16" s="34" t="n">
        <f aca="false">SUMIFS('Registo Diário'!$I$3:$I$403,'Registo Diário'!$C$3:$C$403,$A16)</f>
        <v>0</v>
      </c>
      <c r="K16" s="36" t="n">
        <f aca="false">SUMIFS('Registo Diário'!$N$3:$N$403,'Registo Diário'!$C$3:$C$403,$A16)</f>
        <v>0</v>
      </c>
      <c r="L16" s="36" t="str">
        <f aca="false">IF($I16=0,"",$K16/$I16*100)</f>
        <v/>
      </c>
    </row>
    <row r="17" customFormat="false" ht="15" hidden="false" customHeight="false" outlineLevel="0" collapsed="false">
      <c r="A17" s="43" t="n">
        <f aca="false">EOMONTH(A16,1)</f>
        <v>46660</v>
      </c>
      <c r="B17" s="34" t="n">
        <f aca="false">COUNTIFS('Registo Diário'!$C$3:$C$403,$A17)</f>
        <v>0</v>
      </c>
      <c r="C17" s="35" t="n">
        <f aca="false">SUMIFS('Registo Diário'!$H$3:$H$403,'Registo Diário'!$C$3:$C$403,$A17)</f>
        <v>0</v>
      </c>
      <c r="D17" s="36" t="n">
        <f aca="false">SUMIFS('Registo Diário'!$J$3:$J$403,'Registo Diário'!$C$3:$C$403,$A17)</f>
        <v>0</v>
      </c>
      <c r="E17" s="36" t="n">
        <f aca="false">SUMIFS('Registo Diário'!$R$3:$R$403,'Registo Diário'!$C$3:$C$403,$A17)</f>
        <v>0</v>
      </c>
      <c r="F17" s="44" t="n">
        <f aca="false">IF($B17=0,0,Config!$B$16)</f>
        <v>0</v>
      </c>
      <c r="G17" s="37" t="n">
        <f aca="false">$E17-$F17</f>
        <v>0</v>
      </c>
      <c r="H17" s="37" t="str">
        <f aca="false">IF($C17=0,"",$G17/$C17)</f>
        <v/>
      </c>
      <c r="I17" s="34" t="n">
        <f aca="false">SUMIFS('Registo Diário'!$M$3:$M$403,'Registo Diário'!$C$3:$C$403,$A17)</f>
        <v>0</v>
      </c>
      <c r="J17" s="34" t="n">
        <f aca="false">SUMIFS('Registo Diário'!$I$3:$I$403,'Registo Diário'!$C$3:$C$403,$A17)</f>
        <v>0</v>
      </c>
      <c r="K17" s="36" t="n">
        <f aca="false">SUMIFS('Registo Diário'!$N$3:$N$403,'Registo Diário'!$C$3:$C$403,$A17)</f>
        <v>0</v>
      </c>
      <c r="L17" s="36" t="str">
        <f aca="false">IF($I17=0,"",$K17/$I17*100)</f>
        <v/>
      </c>
    </row>
    <row r="18" customFormat="false" ht="15" hidden="false" customHeight="false" outlineLevel="0" collapsed="false">
      <c r="A18" s="43" t="n">
        <f aca="false">EOMONTH(A17,1)</f>
        <v>46691</v>
      </c>
      <c r="B18" s="34" t="n">
        <f aca="false">COUNTIFS('Registo Diário'!$C$3:$C$403,$A18)</f>
        <v>0</v>
      </c>
      <c r="C18" s="35" t="n">
        <f aca="false">SUMIFS('Registo Diário'!$H$3:$H$403,'Registo Diário'!$C$3:$C$403,$A18)</f>
        <v>0</v>
      </c>
      <c r="D18" s="36" t="n">
        <f aca="false">SUMIFS('Registo Diário'!$J$3:$J$403,'Registo Diário'!$C$3:$C$403,$A18)</f>
        <v>0</v>
      </c>
      <c r="E18" s="36" t="n">
        <f aca="false">SUMIFS('Registo Diário'!$R$3:$R$403,'Registo Diário'!$C$3:$C$403,$A18)</f>
        <v>0</v>
      </c>
      <c r="F18" s="44" t="n">
        <f aca="false">IF($B18=0,0,Config!$B$16)</f>
        <v>0</v>
      </c>
      <c r="G18" s="37" t="n">
        <f aca="false">$E18-$F18</f>
        <v>0</v>
      </c>
      <c r="H18" s="37" t="str">
        <f aca="false">IF($C18=0,"",$G18/$C18)</f>
        <v/>
      </c>
      <c r="I18" s="34" t="n">
        <f aca="false">SUMIFS('Registo Diário'!$M$3:$M$403,'Registo Diário'!$C$3:$C$403,$A18)</f>
        <v>0</v>
      </c>
      <c r="J18" s="34" t="n">
        <f aca="false">SUMIFS('Registo Diário'!$I$3:$I$403,'Registo Diário'!$C$3:$C$403,$A18)</f>
        <v>0</v>
      </c>
      <c r="K18" s="36" t="n">
        <f aca="false">SUMIFS('Registo Diário'!$N$3:$N$403,'Registo Diário'!$C$3:$C$403,$A18)</f>
        <v>0</v>
      </c>
      <c r="L18" s="36" t="str">
        <f aca="false">IF($I18=0,"",$K18/$I18*100)</f>
        <v/>
      </c>
    </row>
    <row r="19" customFormat="false" ht="15" hidden="false" customHeight="false" outlineLevel="0" collapsed="false">
      <c r="A19" s="43" t="n">
        <f aca="false">EOMONTH(A18,1)</f>
        <v>46721</v>
      </c>
      <c r="B19" s="34" t="n">
        <f aca="false">COUNTIFS('Registo Diário'!$C$3:$C$403,$A19)</f>
        <v>0</v>
      </c>
      <c r="C19" s="35" t="n">
        <f aca="false">SUMIFS('Registo Diário'!$H$3:$H$403,'Registo Diário'!$C$3:$C$403,$A19)</f>
        <v>0</v>
      </c>
      <c r="D19" s="36" t="n">
        <f aca="false">SUMIFS('Registo Diário'!$J$3:$J$403,'Registo Diário'!$C$3:$C$403,$A19)</f>
        <v>0</v>
      </c>
      <c r="E19" s="36" t="n">
        <f aca="false">SUMIFS('Registo Diário'!$R$3:$R$403,'Registo Diário'!$C$3:$C$403,$A19)</f>
        <v>0</v>
      </c>
      <c r="F19" s="44" t="n">
        <f aca="false">IF($B19=0,0,Config!$B$16)</f>
        <v>0</v>
      </c>
      <c r="G19" s="37" t="n">
        <f aca="false">$E19-$F19</f>
        <v>0</v>
      </c>
      <c r="H19" s="37" t="str">
        <f aca="false">IF($C19=0,"",$G19/$C19)</f>
        <v/>
      </c>
      <c r="I19" s="34" t="n">
        <f aca="false">SUMIFS('Registo Diário'!$M$3:$M$403,'Registo Diário'!$C$3:$C$403,$A19)</f>
        <v>0</v>
      </c>
      <c r="J19" s="34" t="n">
        <f aca="false">SUMIFS('Registo Diário'!$I$3:$I$403,'Registo Diário'!$C$3:$C$403,$A19)</f>
        <v>0</v>
      </c>
      <c r="K19" s="36" t="n">
        <f aca="false">SUMIFS('Registo Diário'!$N$3:$N$403,'Registo Diário'!$C$3:$C$403,$A19)</f>
        <v>0</v>
      </c>
      <c r="L19" s="36" t="str">
        <f aca="false">IF($I19=0,"",$K19/$I19*100)</f>
        <v/>
      </c>
    </row>
    <row r="20" customFormat="false" ht="15" hidden="false" customHeight="false" outlineLevel="0" collapsed="false">
      <c r="A20" s="43" t="n">
        <f aca="false">EOMONTH(A19,1)</f>
        <v>46752</v>
      </c>
      <c r="B20" s="34" t="n">
        <f aca="false">COUNTIFS('Registo Diário'!$C$3:$C$403,$A20)</f>
        <v>0</v>
      </c>
      <c r="C20" s="35" t="n">
        <f aca="false">SUMIFS('Registo Diário'!$H$3:$H$403,'Registo Diário'!$C$3:$C$403,$A20)</f>
        <v>0</v>
      </c>
      <c r="D20" s="36" t="n">
        <f aca="false">SUMIFS('Registo Diário'!$J$3:$J$403,'Registo Diário'!$C$3:$C$403,$A20)</f>
        <v>0</v>
      </c>
      <c r="E20" s="36" t="n">
        <f aca="false">SUMIFS('Registo Diário'!$R$3:$R$403,'Registo Diário'!$C$3:$C$403,$A20)</f>
        <v>0</v>
      </c>
      <c r="F20" s="44" t="n">
        <f aca="false">IF($B20=0,0,Config!$B$16)</f>
        <v>0</v>
      </c>
      <c r="G20" s="37" t="n">
        <f aca="false">$E20-$F20</f>
        <v>0</v>
      </c>
      <c r="H20" s="37" t="str">
        <f aca="false">IF($C20=0,"",$G20/$C20)</f>
        <v/>
      </c>
      <c r="I20" s="34" t="n">
        <f aca="false">SUMIFS('Registo Diário'!$M$3:$M$403,'Registo Diário'!$C$3:$C$403,$A20)</f>
        <v>0</v>
      </c>
      <c r="J20" s="34" t="n">
        <f aca="false">SUMIFS('Registo Diário'!$I$3:$I$403,'Registo Diário'!$C$3:$C$403,$A20)</f>
        <v>0</v>
      </c>
      <c r="K20" s="36" t="n">
        <f aca="false">SUMIFS('Registo Diário'!$N$3:$N$403,'Registo Diário'!$C$3:$C$403,$A20)</f>
        <v>0</v>
      </c>
      <c r="L20" s="36" t="str">
        <f aca="false">IF($I20=0,"",$K20/$I20*100)</f>
        <v/>
      </c>
    </row>
    <row r="21" customFormat="false" ht="15" hidden="false" customHeight="false" outlineLevel="0" collapsed="false">
      <c r="A21" s="43" t="n">
        <f aca="false">EOMONTH(A20,1)</f>
        <v>46783</v>
      </c>
      <c r="B21" s="34" t="n">
        <f aca="false">COUNTIFS('Registo Diário'!$C$3:$C$403,$A21)</f>
        <v>0</v>
      </c>
      <c r="C21" s="35" t="n">
        <f aca="false">SUMIFS('Registo Diário'!$H$3:$H$403,'Registo Diário'!$C$3:$C$403,$A21)</f>
        <v>0</v>
      </c>
      <c r="D21" s="36" t="n">
        <f aca="false">SUMIFS('Registo Diário'!$J$3:$J$403,'Registo Diário'!$C$3:$C$403,$A21)</f>
        <v>0</v>
      </c>
      <c r="E21" s="36" t="n">
        <f aca="false">SUMIFS('Registo Diário'!$R$3:$R$403,'Registo Diário'!$C$3:$C$403,$A21)</f>
        <v>0</v>
      </c>
      <c r="F21" s="44" t="n">
        <f aca="false">IF($B21=0,0,Config!$B$16)</f>
        <v>0</v>
      </c>
      <c r="G21" s="37" t="n">
        <f aca="false">$E21-$F21</f>
        <v>0</v>
      </c>
      <c r="H21" s="37" t="str">
        <f aca="false">IF($C21=0,"",$G21/$C21)</f>
        <v/>
      </c>
      <c r="I21" s="34" t="n">
        <f aca="false">SUMIFS('Registo Diário'!$M$3:$M$403,'Registo Diário'!$C$3:$C$403,$A21)</f>
        <v>0</v>
      </c>
      <c r="J21" s="34" t="n">
        <f aca="false">SUMIFS('Registo Diário'!$I$3:$I$403,'Registo Diário'!$C$3:$C$403,$A21)</f>
        <v>0</v>
      </c>
      <c r="K21" s="36" t="n">
        <f aca="false">SUMIFS('Registo Diário'!$N$3:$N$403,'Registo Diário'!$C$3:$C$403,$A21)</f>
        <v>0</v>
      </c>
      <c r="L21" s="36" t="str">
        <f aca="false">IF($I21=0,"",$K21/$I21*100)</f>
        <v/>
      </c>
    </row>
    <row r="22" customFormat="false" ht="15" hidden="false" customHeight="false" outlineLevel="0" collapsed="false">
      <c r="A22" s="43" t="n">
        <f aca="false">EOMONTH(A21,1)</f>
        <v>46812</v>
      </c>
      <c r="B22" s="34" t="n">
        <f aca="false">COUNTIFS('Registo Diário'!$C$3:$C$403,$A22)</f>
        <v>0</v>
      </c>
      <c r="C22" s="35" t="n">
        <f aca="false">SUMIFS('Registo Diário'!$H$3:$H$403,'Registo Diário'!$C$3:$C$403,$A22)</f>
        <v>0</v>
      </c>
      <c r="D22" s="36" t="n">
        <f aca="false">SUMIFS('Registo Diário'!$J$3:$J$403,'Registo Diário'!$C$3:$C$403,$A22)</f>
        <v>0</v>
      </c>
      <c r="E22" s="36" t="n">
        <f aca="false">SUMIFS('Registo Diário'!$R$3:$R$403,'Registo Diário'!$C$3:$C$403,$A22)</f>
        <v>0</v>
      </c>
      <c r="F22" s="44" t="n">
        <f aca="false">IF($B22=0,0,Config!$B$16)</f>
        <v>0</v>
      </c>
      <c r="G22" s="37" t="n">
        <f aca="false">$E22-$F22</f>
        <v>0</v>
      </c>
      <c r="H22" s="37" t="str">
        <f aca="false">IF($C22=0,"",$G22/$C22)</f>
        <v/>
      </c>
      <c r="I22" s="34" t="n">
        <f aca="false">SUMIFS('Registo Diário'!$M$3:$M$403,'Registo Diário'!$C$3:$C$403,$A22)</f>
        <v>0</v>
      </c>
      <c r="J22" s="34" t="n">
        <f aca="false">SUMIFS('Registo Diário'!$I$3:$I$403,'Registo Diário'!$C$3:$C$403,$A22)</f>
        <v>0</v>
      </c>
      <c r="K22" s="36" t="n">
        <f aca="false">SUMIFS('Registo Diário'!$N$3:$N$403,'Registo Diário'!$C$3:$C$403,$A22)</f>
        <v>0</v>
      </c>
      <c r="L22" s="36" t="str">
        <f aca="false">IF($I22=0,"",$K22/$I22*100)</f>
        <v/>
      </c>
    </row>
    <row r="23" customFormat="false" ht="15" hidden="false" customHeight="false" outlineLevel="0" collapsed="false">
      <c r="A23" s="38" t="s">
        <v>103</v>
      </c>
      <c r="B23" s="39" t="n">
        <f aca="false">SUM(B5:B22)</f>
        <v>1</v>
      </c>
      <c r="C23" s="40" t="n">
        <f aca="false">SUM(C5:C22)</f>
        <v>6.5</v>
      </c>
      <c r="D23" s="41" t="n">
        <f aca="false">SUM(D5:D22)</f>
        <v>168.4</v>
      </c>
      <c r="E23" s="41" t="n">
        <f aca="false">SUM(E5:E22)</f>
        <v>112.14</v>
      </c>
      <c r="F23" s="41" t="n">
        <f aca="false">SUM(F5:F22)</f>
        <v>470.833333333333</v>
      </c>
      <c r="G23" s="41" t="n">
        <f aca="false">SUM(G5:G22)</f>
        <v>-358.693333333333</v>
      </c>
      <c r="H23" s="41" t="n">
        <f aca="false">IF($C23=0,"",$G23/$C23)</f>
        <v>-55.1835897435897</v>
      </c>
      <c r="I23" s="39" t="n">
        <f aca="false">SUM(I5:I22)</f>
        <v>122</v>
      </c>
      <c r="J23" s="39" t="n">
        <f aca="false">SUM(J5:J22)</f>
        <v>14</v>
      </c>
      <c r="K23" s="41" t="n">
        <f aca="false">SUM(K5:K22)</f>
        <v>11.8</v>
      </c>
      <c r="L23" s="41" t="n">
        <f aca="false">IF($I23=0,"",$K23/$I23*100)</f>
        <v>9.67213114754098</v>
      </c>
    </row>
    <row r="25" customFormat="false" ht="30" hidden="false" customHeight="true" outlineLevel="0" collapsed="false">
      <c r="A25" s="45" t="s">
        <v>62</v>
      </c>
      <c r="B25" s="46" t="s">
        <v>136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</row>
  </sheetData>
  <mergeCells count="2">
    <mergeCell ref="A2:L2"/>
    <mergeCell ref="B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31" t="s">
        <v>137</v>
      </c>
      <c r="D1" s="47" t="s">
        <v>138</v>
      </c>
      <c r="E1" s="47" t="s">
        <v>139</v>
      </c>
      <c r="F1" s="47" t="s">
        <v>140</v>
      </c>
    </row>
    <row r="2" customFormat="false" ht="15" hidden="false" customHeight="false" outlineLevel="0" collapsed="false">
      <c r="A2" s="32" t="s">
        <v>141</v>
      </c>
      <c r="D2" s="48" t="s">
        <v>96</v>
      </c>
      <c r="E2" s="48" t="s">
        <v>30</v>
      </c>
      <c r="F2" s="48" t="s">
        <v>120</v>
      </c>
    </row>
    <row r="3" customFormat="false" ht="15" hidden="false" customHeight="false" outlineLevel="0" collapsed="false">
      <c r="D3" s="48" t="s">
        <v>97</v>
      </c>
      <c r="E3" s="48" t="s">
        <v>34</v>
      </c>
      <c r="F3" s="48" t="s">
        <v>121</v>
      </c>
    </row>
    <row r="4" customFormat="false" ht="15" hidden="false" customHeight="false" outlineLevel="0" collapsed="false">
      <c r="A4" s="49" t="s">
        <v>142</v>
      </c>
      <c r="B4" s="49"/>
      <c r="C4" s="49"/>
      <c r="D4" s="48" t="s">
        <v>98</v>
      </c>
      <c r="E4" s="48" t="s">
        <v>106</v>
      </c>
      <c r="F4" s="48" t="s">
        <v>122</v>
      </c>
    </row>
    <row r="5" customFormat="false" ht="43.5" hidden="false" customHeight="true" outlineLevel="0" collapsed="false">
      <c r="A5" s="33" t="s">
        <v>143</v>
      </c>
      <c r="B5" s="50" t="n">
        <v>0.25</v>
      </c>
      <c r="C5" s="51" t="s">
        <v>144</v>
      </c>
      <c r="D5" s="48" t="s">
        <v>99</v>
      </c>
      <c r="E5" s="48" t="s">
        <v>88</v>
      </c>
      <c r="F5" s="48" t="s">
        <v>123</v>
      </c>
    </row>
    <row r="6" customFormat="false" ht="43.5" hidden="false" customHeight="true" outlineLevel="0" collapsed="false">
      <c r="A6" s="33" t="s">
        <v>145</v>
      </c>
      <c r="B6" s="52" t="n">
        <v>0.03</v>
      </c>
      <c r="C6" s="51" t="s">
        <v>146</v>
      </c>
      <c r="D6" s="48" t="s">
        <v>100</v>
      </c>
      <c r="E6" s="48" t="s">
        <v>107</v>
      </c>
      <c r="F6" s="48" t="s">
        <v>124</v>
      </c>
    </row>
    <row r="7" customFormat="false" ht="15" hidden="false" customHeight="false" outlineLevel="0" collapsed="false">
      <c r="D7" s="48" t="s">
        <v>101</v>
      </c>
      <c r="E7" s="48" t="s">
        <v>108</v>
      </c>
      <c r="F7" s="48" t="s">
        <v>125</v>
      </c>
    </row>
    <row r="8" customFormat="false" ht="15" hidden="false" customHeight="false" outlineLevel="0" collapsed="false">
      <c r="A8" s="49" t="s">
        <v>147</v>
      </c>
      <c r="B8" s="49"/>
      <c r="C8" s="49"/>
      <c r="D8" s="48" t="s">
        <v>87</v>
      </c>
      <c r="E8" s="48" t="s">
        <v>38</v>
      </c>
      <c r="F8" s="48" t="s">
        <v>126</v>
      </c>
    </row>
    <row r="9" customFormat="false" ht="30" hidden="false" customHeight="true" outlineLevel="0" collapsed="false">
      <c r="A9" s="53" t="s">
        <v>148</v>
      </c>
      <c r="C9" s="51" t="s">
        <v>149</v>
      </c>
      <c r="D9" s="48" t="s">
        <v>102</v>
      </c>
      <c r="E9" s="48" t="s">
        <v>109</v>
      </c>
    </row>
    <row r="10" customFormat="false" ht="15" hidden="false" customHeight="false" outlineLevel="0" collapsed="false">
      <c r="E10" s="48" t="s">
        <v>110</v>
      </c>
    </row>
    <row r="11" customFormat="false" ht="15" hidden="false" customHeight="false" outlineLevel="0" collapsed="false">
      <c r="A11" s="49" t="s">
        <v>150</v>
      </c>
      <c r="B11" s="49"/>
      <c r="C11" s="54" t="s">
        <v>151</v>
      </c>
      <c r="E11" s="48" t="s">
        <v>111</v>
      </c>
    </row>
    <row r="12" customFormat="false" ht="25.5" hidden="false" customHeight="true" outlineLevel="0" collapsed="false">
      <c r="A12" s="33" t="s">
        <v>152</v>
      </c>
      <c r="B12" s="52" t="n">
        <v>390</v>
      </c>
      <c r="C12" s="51" t="s">
        <v>153</v>
      </c>
      <c r="E12" s="48" t="s">
        <v>112</v>
      </c>
    </row>
    <row r="13" customFormat="false" ht="25.5" hidden="false" customHeight="true" outlineLevel="0" collapsed="false">
      <c r="A13" s="33" t="s">
        <v>154</v>
      </c>
      <c r="B13" s="30" t="n">
        <f aca="false">B19/12</f>
        <v>80.8333333333333</v>
      </c>
      <c r="C13" s="51" t="s">
        <v>155</v>
      </c>
      <c r="E13" s="48" t="s">
        <v>113</v>
      </c>
    </row>
    <row r="14" customFormat="false" ht="25.5" hidden="false" customHeight="true" outlineLevel="0" collapsed="false">
      <c r="A14" s="33" t="s">
        <v>156</v>
      </c>
      <c r="B14" s="52" t="n">
        <v>0</v>
      </c>
      <c r="C14" s="51" t="s">
        <v>157</v>
      </c>
      <c r="E14" s="48" t="s">
        <v>114</v>
      </c>
    </row>
    <row r="15" customFormat="false" ht="25.5" hidden="false" customHeight="true" outlineLevel="0" collapsed="false">
      <c r="A15" s="33" t="s">
        <v>158</v>
      </c>
      <c r="B15" s="30" t="n">
        <f aca="false">B20/12</f>
        <v>0</v>
      </c>
      <c r="C15" s="51" t="s">
        <v>159</v>
      </c>
      <c r="E15" s="48" t="s">
        <v>115</v>
      </c>
    </row>
    <row r="16" customFormat="false" ht="30" hidden="false" customHeight="true" outlineLevel="0" collapsed="false">
      <c r="A16" s="38" t="s">
        <v>160</v>
      </c>
      <c r="B16" s="41" t="n">
        <f aca="false">SUM(B12:B15)</f>
        <v>470.833333333333</v>
      </c>
      <c r="C16" s="55" t="s">
        <v>161</v>
      </c>
      <c r="E16" s="48" t="s">
        <v>116</v>
      </c>
    </row>
    <row r="17" customFormat="false" ht="15" hidden="false" customHeight="false" outlineLevel="0" collapsed="false">
      <c r="E17" s="48" t="s">
        <v>117</v>
      </c>
    </row>
    <row r="18" customFormat="false" ht="15" hidden="false" customHeight="false" outlineLevel="0" collapsed="false">
      <c r="A18" s="49" t="s">
        <v>162</v>
      </c>
      <c r="B18" s="49"/>
      <c r="C18" s="49"/>
    </row>
    <row r="19" customFormat="false" ht="25.5" hidden="false" customHeight="true" outlineLevel="0" collapsed="false">
      <c r="A19" s="33" t="s">
        <v>163</v>
      </c>
      <c r="B19" s="52" t="n">
        <v>970</v>
      </c>
      <c r="C19" s="51" t="s">
        <v>164</v>
      </c>
    </row>
    <row r="20" customFormat="false" ht="25.5" hidden="false" customHeight="true" outlineLevel="0" collapsed="false">
      <c r="A20" s="33" t="s">
        <v>165</v>
      </c>
      <c r="B20" s="52" t="n">
        <v>0</v>
      </c>
      <c r="C20" s="51" t="s">
        <v>166</v>
      </c>
    </row>
    <row r="22" customFormat="false" ht="15" hidden="false" customHeight="true" outlineLevel="0" collapsed="false">
      <c r="A22" s="33" t="s">
        <v>167</v>
      </c>
      <c r="B22" s="56" t="n">
        <v>46266</v>
      </c>
      <c r="C22" s="51" t="s">
        <v>168</v>
      </c>
      <c r="D22" s="46" t="s">
        <v>169</v>
      </c>
      <c r="E22" s="46"/>
      <c r="F22" s="46"/>
    </row>
    <row r="23" customFormat="false" ht="15" hidden="false" customHeight="false" outlineLevel="0" collapsed="false">
      <c r="D23" s="46"/>
      <c r="E23" s="46"/>
      <c r="F23" s="46"/>
    </row>
    <row r="24" customFormat="false" ht="15" hidden="false" customHeight="false" outlineLevel="0" collapsed="false">
      <c r="A24" s="49" t="s">
        <v>170</v>
      </c>
      <c r="B24" s="49"/>
      <c r="C24" s="49"/>
      <c r="D24" s="46"/>
      <c r="E24" s="46"/>
      <c r="F24" s="46"/>
    </row>
    <row r="25" customFormat="false" ht="15" hidden="false" customHeight="false" outlineLevel="0" collapsed="false">
      <c r="A25" s="57" t="s">
        <v>171</v>
      </c>
      <c r="C25" s="58" t="s">
        <v>172</v>
      </c>
    </row>
    <row r="26" customFormat="false" ht="15" hidden="false" customHeight="false" outlineLevel="0" collapsed="false">
      <c r="A26" s="59" t="s">
        <v>173</v>
      </c>
      <c r="C26" s="58" t="s">
        <v>174</v>
      </c>
    </row>
    <row r="27" customFormat="false" ht="15" hidden="false" customHeight="false" outlineLevel="0" collapsed="false">
      <c r="A27" s="60" t="s">
        <v>175</v>
      </c>
      <c r="C27" s="58" t="s">
        <v>176</v>
      </c>
    </row>
  </sheetData>
  <mergeCells count="1">
    <mergeCell ref="D22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2026-08-23T19:38:48Z</dcterms:created>
  <dc:creator>openpyxl</dc:creator>
  <dc:description/>
  <dc:language>en-US</dc:language>
  <cp:lastModifiedBy/>
  <dcterms:modified xsi:type="dcterms:W3CDTF">2026-08-23T19:38:49Z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